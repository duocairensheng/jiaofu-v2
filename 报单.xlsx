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报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<sst xmlns="http://schemas.openxmlformats.org/spreadsheetml/2006/main" count="867" uniqueCount="206">
  <si>
    <t>公司名称</t>
  </si>
  <si>
    <t>客户名称</t>
  </si>
  <si>
    <t>学校名称</t>
  </si>
  <si>
    <t>产品系列</t>
  </si>
  <si>
    <t>产品名称</t>
  </si>
  <si>
    <t>年级</t>
  </si>
  <si>
    <t>科目</t>
  </si>
  <si>
    <t>册次</t>
  </si>
  <si>
    <t>版本</t>
  </si>
  <si>
    <t>定价</t>
  </si>
  <si>
    <t>学用数量</t>
  </si>
  <si>
    <t>教师学用数量</t>
  </si>
  <si>
    <t>合计数量</t>
  </si>
  <si>
    <t>教用数量</t>
  </si>
  <si>
    <t>金额</t>
  </si>
  <si>
    <t>发货渠道</t>
  </si>
  <si>
    <t>发货地址</t>
  </si>
  <si>
    <t>发货状态</t>
  </si>
  <si>
    <t>山东传美</t>
  </si>
  <si>
    <t>戴股票</t>
  </si>
  <si>
    <t>柳州一中</t>
  </si>
  <si>
    <t>同步练习类</t>
  </si>
  <si>
    <t>同步训练</t>
  </si>
  <si>
    <t>高一</t>
  </si>
  <si>
    <t>语文</t>
  </si>
  <si>
    <t>必修上册</t>
  </si>
  <si>
    <t>人教</t>
  </si>
  <si>
    <t>新华</t>
  </si>
  <si>
    <t>柳州市海南区柳州一中，杨老师收，14037288911</t>
  </si>
  <si>
    <t>发货</t>
  </si>
  <si>
    <t>吴海洋</t>
  </si>
  <si>
    <t>柳州三中</t>
  </si>
  <si>
    <t>必修下册</t>
  </si>
  <si>
    <t>直销</t>
  </si>
  <si>
    <t>柳州市柳北区刘备街道柳州三中，李老师，18089898989</t>
  </si>
  <si>
    <t>待发货</t>
  </si>
  <si>
    <t>广西创学</t>
  </si>
  <si>
    <t>刘保起</t>
  </si>
  <si>
    <t>南宁九中</t>
  </si>
  <si>
    <t>高二</t>
  </si>
  <si>
    <t>选择性必修上册</t>
  </si>
  <si>
    <t>南宁市宁古区海南路38号南宁海月公司仓库，王经理，17878787878</t>
  </si>
  <si>
    <t>等通知发货</t>
  </si>
  <si>
    <t>尚学壹品</t>
  </si>
  <si>
    <t>戴光平</t>
  </si>
  <si>
    <t>浔州高级中学</t>
  </si>
  <si>
    <t>选择性必修中册</t>
  </si>
  <si>
    <t>广西贵港桂平浔州高  级中学，赖老师
15878808588</t>
  </si>
  <si>
    <t>5月30发货</t>
  </si>
  <si>
    <t>赵建华</t>
  </si>
  <si>
    <t>柳州新世纪高中</t>
  </si>
  <si>
    <t>选择性必修下册</t>
  </si>
  <si>
    <t>柳州市鱼峰区西江路55号
柳州市新世纪高中，覃宝霖18177260619</t>
  </si>
  <si>
    <t>数学</t>
  </si>
  <si>
    <t>A必修第一册</t>
  </si>
  <si>
    <t>A必修二册</t>
  </si>
  <si>
    <t>A选第一册</t>
  </si>
  <si>
    <t>徐长路苗延强</t>
  </si>
  <si>
    <t>A选第二册</t>
  </si>
  <si>
    <t>A选第三册</t>
  </si>
  <si>
    <t>温记训</t>
  </si>
  <si>
    <t>无</t>
  </si>
  <si>
    <t>英语</t>
  </si>
  <si>
    <t>必修第一册</t>
  </si>
  <si>
    <t>广西贺州市昭平县昭平二高 陆燕兰 13707849456</t>
  </si>
  <si>
    <t>候典宽</t>
  </si>
  <si>
    <t>德保技校</t>
  </si>
  <si>
    <t>必修第二册</t>
  </si>
  <si>
    <t>王传文</t>
  </si>
  <si>
    <t>必修第三册</t>
  </si>
  <si>
    <t>赵明侠</t>
  </si>
  <si>
    <t>选择性必修第一册</t>
  </si>
  <si>
    <t>选择性必修第二册</t>
  </si>
  <si>
    <t>罗得元</t>
  </si>
  <si>
    <t>选择性必修第三册</t>
  </si>
  <si>
    <t>曾新生</t>
  </si>
  <si>
    <t>选择性必修第四册</t>
  </si>
  <si>
    <t>物理</t>
  </si>
  <si>
    <t>20中</t>
  </si>
  <si>
    <t xml:space="preserve">
地址：广西南宁市第二十中学
黎忠（收）13277766288
《马上发货吧！！》</t>
  </si>
  <si>
    <t>师院附中</t>
  </si>
  <si>
    <t xml:space="preserve">
收货人：崔师营
收货地址：广西玉林市玉州区金玉路337号胜利花园一区一栋
联系电话：18775582588</t>
  </si>
  <si>
    <t>环江二高</t>
  </si>
  <si>
    <t>思政</t>
  </si>
  <si>
    <t>必修1 中国特色社会主义</t>
  </si>
  <si>
    <t>环江第二高级中学高一年级下学期补单
   收件人：覃助理
手机13132788168</t>
  </si>
  <si>
    <t>苏夫全</t>
  </si>
  <si>
    <t>必修2 经济与社会</t>
  </si>
  <si>
    <t>柳州新华</t>
  </si>
  <si>
    <t>英华高中</t>
  </si>
  <si>
    <t>必修3 政治与法治</t>
  </si>
  <si>
    <t xml:space="preserve">
地址：广西南宁市英华学校
李老师（收）15994479751
《马上发货吧！！》</t>
  </si>
  <si>
    <t>昭平二高</t>
  </si>
  <si>
    <t>必修4 哲学与文化</t>
  </si>
  <si>
    <t>南宁42中</t>
  </si>
  <si>
    <t>选择性必修1 当代国际政治与经济</t>
  </si>
  <si>
    <t>广西南宁明秀路正恒国际广场，收件人：敬春阳，电话：13471185798，</t>
  </si>
  <si>
    <t>宾阳高中</t>
  </si>
  <si>
    <t>选择性必修2 法律与生活</t>
  </si>
  <si>
    <t>牛总新年好，请补发物理必修二9本，广西宾阳高中…苗老师（收）13197577858</t>
  </si>
  <si>
    <t>浔高</t>
  </si>
  <si>
    <t>选择性必修3 逻辑与思维</t>
  </si>
  <si>
    <t>广西贵港桂平市浔州高级中学  赖老师
15878808588</t>
  </si>
  <si>
    <t>贺州三高</t>
  </si>
  <si>
    <t>地理</t>
  </si>
  <si>
    <t>广西贺州市贺州第三高级中学 彭上谋 收 180 7808 7744</t>
  </si>
  <si>
    <t>陈龙庆</t>
  </si>
  <si>
    <t>周长春</t>
  </si>
  <si>
    <t>选择性必修1 自然地理</t>
  </si>
  <si>
    <t>订同步训练英语必修三1390本，教用15本</t>
  </si>
  <si>
    <t>南宁</t>
  </si>
  <si>
    <t>选择性必修2 区域发展</t>
  </si>
  <si>
    <t>广西南宁市江南区五一中路106号丽江商贸城内2号楼凯瑞图书   收货人：宁思绍  电话：  18978184147。</t>
  </si>
  <si>
    <t>宁明二高</t>
  </si>
  <si>
    <t>选择性必修3 资源、环境与国家安全</t>
  </si>
  <si>
    <t>宁明县二高，黄海军</t>
  </si>
  <si>
    <t>同步讲练测</t>
  </si>
  <si>
    <t>历史</t>
  </si>
  <si>
    <t>必修 中外历史纲要(上)</t>
  </si>
  <si>
    <t>南宁43中</t>
  </si>
  <si>
    <t>必修 中外历史纲要(下)</t>
  </si>
  <si>
    <t>广西南宁市南宁第43中学，敬春阳，13471185798</t>
  </si>
  <si>
    <t>刘琼黎</t>
  </si>
  <si>
    <t>选择性必修1 国家制度与社会治理</t>
  </si>
  <si>
    <t>达开</t>
  </si>
  <si>
    <t>选择性必修2 经济与社会生活</t>
  </si>
  <si>
    <t>广西贵港市西江工业园贵港市新华书店有限公司仓储  联系人：文凭  电话13737559020</t>
  </si>
  <si>
    <t>选择性必修3 文化交流与传播</t>
  </si>
  <si>
    <t>同步练习册</t>
  </si>
  <si>
    <t>外研</t>
  </si>
  <si>
    <t>罗城二高</t>
  </si>
  <si>
    <t>罗城二高，吴仲才，</t>
  </si>
  <si>
    <t>崔师盈</t>
  </si>
  <si>
    <t>杨贤胜</t>
  </si>
  <si>
    <t>博白四中</t>
  </si>
  <si>
    <t>广西壮族自治区玉林市博白县城南产业园工业大道005号广西博白宝丽编织工艺新厂，13211315217  邹异伟</t>
  </si>
  <si>
    <t>徐长路</t>
  </si>
  <si>
    <t>鹿鸣中学</t>
  </si>
  <si>
    <t>同步考试类</t>
  </si>
  <si>
    <t>优化训练</t>
  </si>
  <si>
    <t>广西柳州市鹿寨县鹿鸣中学覃老师收，15877245920</t>
  </si>
  <si>
    <t>岑溪</t>
  </si>
  <si>
    <t>广西梧州岑溪县岑溪考源书店，罗得元，13471185798</t>
  </si>
  <si>
    <t>刘传才</t>
  </si>
  <si>
    <t>北师</t>
  </si>
  <si>
    <t>巴马高中</t>
  </si>
  <si>
    <t>广西河池市巴马高中 韦志新  13977882161</t>
  </si>
  <si>
    <t>广西大学附中</t>
  </si>
  <si>
    <t>教科</t>
  </si>
  <si>
    <t>广西省南宁市西乡塘区科园西二路6号，榕华市场高新市集西门上坡6号仓库，王志伟收13807880157</t>
  </si>
  <si>
    <t>灌阳高中</t>
  </si>
  <si>
    <t>广西省桂林市灌阳县灌阳二高胡刚收13878305033</t>
  </si>
  <si>
    <t>宁思绍</t>
  </si>
  <si>
    <t>崇左高中</t>
  </si>
  <si>
    <t>总复习类</t>
  </si>
  <si>
    <t>高考优化设计</t>
  </si>
  <si>
    <t>高三</t>
  </si>
  <si>
    <t>二轮</t>
  </si>
  <si>
    <t>26版</t>
  </si>
  <si>
    <t>广西崇左市崇左高中，黄慧</t>
  </si>
  <si>
    <t>一轮</t>
  </si>
  <si>
    <t>广西鹿寨县鹿鸣中学覃老师收，15877245920，</t>
  </si>
  <si>
    <t>柳州</t>
  </si>
  <si>
    <t>广西柳州柳南区京柳书社，赵建华，收货地点及电话不变</t>
  </si>
  <si>
    <t>27版</t>
  </si>
  <si>
    <t>广西柳州柳南区京柳书社，赵建华，收件地址及电话不变</t>
  </si>
  <si>
    <t>化学</t>
  </si>
  <si>
    <t>广西崇左市宁明县宁明二高，黄海军，18978118319</t>
  </si>
  <si>
    <t>王科义</t>
  </si>
  <si>
    <t>合浦西场中学</t>
  </si>
  <si>
    <t>订同步训练英语选修四：616本，6本教参.到广西合浦县延安路新华书店仓库罗世岷收，13878918299。备注：西场中学高二</t>
  </si>
  <si>
    <t>张伟海</t>
  </si>
  <si>
    <t>广西大学附中百色分校</t>
  </si>
  <si>
    <t>广西百色市百东新区  广西大学附属中学百色分校  周老师
14796065338</t>
  </si>
  <si>
    <t>苍梧高级中学</t>
  </si>
  <si>
    <t>广西梧州市苍梧县石桥镇苍梧高级中学
林桂章17376251954</t>
  </si>
  <si>
    <t>贺高</t>
  </si>
  <si>
    <t>广西贺州第一高级中学 彭上谋 18078087744</t>
  </si>
  <si>
    <t>同步训练高一历史  560</t>
  </si>
  <si>
    <t>黄广雷</t>
  </si>
  <si>
    <t>河池二高</t>
  </si>
  <si>
    <t>学业水平类</t>
  </si>
  <si>
    <t>高中学业水平</t>
  </si>
  <si>
    <t>高中学业水平考试化学</t>
  </si>
  <si>
    <t>广西省都安县，综合高中，黄成佳收电话15977465669</t>
  </si>
  <si>
    <t>新宾中学</t>
  </si>
  <si>
    <t>高中学业水平考试历史</t>
  </si>
  <si>
    <t>李宣会</t>
  </si>
  <si>
    <t>生物</t>
  </si>
  <si>
    <t>高中学业水平考试生物</t>
  </si>
  <si>
    <t>广西省宾阳县黎塘镇桂鼎中学覃主任收15977129080</t>
  </si>
  <si>
    <t>北海新华书店</t>
  </si>
  <si>
    <t>高中学业水平考试物理</t>
  </si>
  <si>
    <t>假期作业类</t>
  </si>
  <si>
    <t>寒假作业</t>
  </si>
  <si>
    <t>寒假作业 高一 物理</t>
  </si>
  <si>
    <t>地址不变</t>
  </si>
  <si>
    <t>寒假作业 高二 物理</t>
  </si>
  <si>
    <t>地址:广西钟山县职业技术学校，廖老师(收)，18077472869</t>
  </si>
  <si>
    <t>王志伟</t>
  </si>
  <si>
    <t>都安综合高中</t>
  </si>
  <si>
    <t>寒假作业 高一 化学</t>
  </si>
  <si>
    <t>广西富川高中，毛春艳(收)，18878495045</t>
  </si>
  <si>
    <t>徐长路、苗延强</t>
  </si>
  <si>
    <t>寒假作业 高二 化学</t>
  </si>
  <si>
    <t>广西柳州市第三中学  高二物理 蔡老师 13317620735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</si>
</sst>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rgb="FF000000"/>
      <name val="宋体"/>
      <charset val="134"/>
    </font>
    <font>
      <sz val="9"/>
      <color rgb="FF000000"/>
      <name val="Arial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8" fontId="2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5"/>
  <sheetViews>
    <sheetView tabSelected="1" topLeftCell="A35" workbookViewId="0">
      <selection activeCell="B22" sqref="B22:B24"/>
    </sheetView>
  </sheetViews>
  <sheetFormatPr defaultColWidth="8.88888888888889" defaultRowHeight="14.4"/>
  <cols>
    <col min="12" max="12" width="14.1111111111111" customWidth="1"/>
    <col min="13" max="13" width="9.66666666666667" customWidth="1"/>
    <col min="15" max="15" width="9.66666666666667"/>
    <col min="17" max="17" width="67" customWidth="1"/>
    <col min="18" max="18" width="11.8888888888889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2" t="s">
        <v>21</v>
      </c>
      <c r="E2" s="2" t="s">
        <v>22</v>
      </c>
      <c r="F2" s="3" t="s">
        <v>23</v>
      </c>
      <c r="G2" s="3" t="s">
        <v>24</v>
      </c>
      <c r="H2" s="2" t="s">
        <v>25</v>
      </c>
      <c r="I2" s="3" t="s">
        <v>26</v>
      </c>
      <c r="J2" s="4">
        <v>46.65</v>
      </c>
      <c r="K2" s="5">
        <v>345</v>
      </c>
      <c r="L2" s="6">
        <v>2</v>
      </c>
      <c r="M2" s="1">
        <f>L2+K2</f>
        <v>347</v>
      </c>
      <c r="N2" s="1">
        <v>2</v>
      </c>
      <c r="O2" s="1">
        <f>M2*J2</f>
        <v>16187.55</v>
      </c>
      <c r="P2" s="1" t="s">
        <v>27</v>
      </c>
      <c r="Q2" s="1" t="s">
        <v>28</v>
      </c>
      <c r="R2" s="1" t="s">
        <v>29</v>
      </c>
    </row>
    <row r="3" spans="1:18">
      <c r="A3" s="1" t="s">
        <v>18</v>
      </c>
      <c r="B3" s="1" t="s">
        <v>30</v>
      </c>
      <c r="C3" s="1" t="s">
        <v>31</v>
      </c>
      <c r="D3" s="2" t="s">
        <v>21</v>
      </c>
      <c r="E3" s="2" t="s">
        <v>22</v>
      </c>
      <c r="F3" s="3" t="s">
        <v>23</v>
      </c>
      <c r="G3" s="3" t="s">
        <v>24</v>
      </c>
      <c r="H3" s="2" t="s">
        <v>32</v>
      </c>
      <c r="I3" s="3" t="s">
        <v>26</v>
      </c>
      <c r="J3" s="4">
        <v>48.05</v>
      </c>
      <c r="K3" s="5">
        <v>346</v>
      </c>
      <c r="L3" s="6">
        <v>5</v>
      </c>
      <c r="M3" s="1">
        <f t="shared" ref="M3:M34" si="0">L3+K3</f>
        <v>351</v>
      </c>
      <c r="N3" s="1">
        <v>8</v>
      </c>
      <c r="O3" s="1">
        <f t="shared" ref="O3:O34" si="1">M3*J3</f>
        <v>16865.55</v>
      </c>
      <c r="P3" s="1" t="s">
        <v>33</v>
      </c>
      <c r="Q3" s="1" t="s">
        <v>34</v>
      </c>
      <c r="R3" s="1" t="s">
        <v>35</v>
      </c>
    </row>
    <row r="4" ht="21.6" spans="1:18">
      <c r="A4" s="1" t="s">
        <v>36</v>
      </c>
      <c r="B4" s="1" t="s">
        <v>37</v>
      </c>
      <c r="C4" s="1" t="s">
        <v>38</v>
      </c>
      <c r="D4" s="2" t="s">
        <v>21</v>
      </c>
      <c r="E4" s="2" t="s">
        <v>22</v>
      </c>
      <c r="F4" s="3" t="s">
        <v>39</v>
      </c>
      <c r="G4" s="3" t="s">
        <v>24</v>
      </c>
      <c r="H4" s="2" t="s">
        <v>40</v>
      </c>
      <c r="I4" s="3" t="s">
        <v>26</v>
      </c>
      <c r="J4" s="4">
        <v>29.85</v>
      </c>
      <c r="K4" s="5">
        <v>347</v>
      </c>
      <c r="L4" s="6">
        <v>15</v>
      </c>
      <c r="M4" s="1">
        <f t="shared" si="0"/>
        <v>362</v>
      </c>
      <c r="N4" s="1">
        <v>15</v>
      </c>
      <c r="O4" s="1">
        <f t="shared" si="1"/>
        <v>10805.7</v>
      </c>
      <c r="P4" s="1" t="s">
        <v>33</v>
      </c>
      <c r="Q4" s="1" t="s">
        <v>41</v>
      </c>
      <c r="R4" s="1" t="s">
        <v>42</v>
      </c>
    </row>
    <row r="5" ht="24" spans="1:18">
      <c r="A5" s="1" t="s">
        <v>43</v>
      </c>
      <c r="B5" s="7" t="s">
        <v>44</v>
      </c>
      <c r="C5" s="7" t="s">
        <v>45</v>
      </c>
      <c r="D5" s="2" t="s">
        <v>21</v>
      </c>
      <c r="E5" s="2" t="s">
        <v>22</v>
      </c>
      <c r="F5" s="3" t="s">
        <v>39</v>
      </c>
      <c r="G5" s="3" t="s">
        <v>24</v>
      </c>
      <c r="H5" s="2" t="s">
        <v>46</v>
      </c>
      <c r="I5" s="3" t="s">
        <v>26</v>
      </c>
      <c r="J5" s="4">
        <v>33.35</v>
      </c>
      <c r="K5" s="5">
        <v>348</v>
      </c>
      <c r="L5" s="6">
        <v>5</v>
      </c>
      <c r="M5" s="1">
        <f t="shared" si="0"/>
        <v>353</v>
      </c>
      <c r="N5" s="6">
        <v>2</v>
      </c>
      <c r="O5" s="1">
        <f t="shared" si="1"/>
        <v>11772.55</v>
      </c>
      <c r="P5" s="1" t="s">
        <v>27</v>
      </c>
      <c r="Q5" s="8" t="s">
        <v>47</v>
      </c>
      <c r="R5" s="1" t="s">
        <v>48</v>
      </c>
    </row>
    <row r="6" ht="24" spans="1:18">
      <c r="A6" s="1" t="s">
        <v>36</v>
      </c>
      <c r="B6" s="7" t="s">
        <v>49</v>
      </c>
      <c r="C6" s="7" t="s">
        <v>50</v>
      </c>
      <c r="D6" s="2" t="s">
        <v>21</v>
      </c>
      <c r="E6" s="2" t="s">
        <v>22</v>
      </c>
      <c r="F6" s="3" t="s">
        <v>39</v>
      </c>
      <c r="G6" s="3" t="s">
        <v>24</v>
      </c>
      <c r="H6" s="2" t="s">
        <v>51</v>
      </c>
      <c r="I6" s="3" t="s">
        <v>26</v>
      </c>
      <c r="J6" s="4">
        <v>36.15</v>
      </c>
      <c r="K6" s="5">
        <v>349</v>
      </c>
      <c r="L6" s="6">
        <v>5</v>
      </c>
      <c r="M6" s="1">
        <f t="shared" si="0"/>
        <v>354</v>
      </c>
      <c r="N6" s="6">
        <v>5</v>
      </c>
      <c r="O6" s="1">
        <f t="shared" si="1"/>
        <v>12797.1</v>
      </c>
      <c r="P6" s="1" t="s">
        <v>33</v>
      </c>
      <c r="Q6" s="8" t="s">
        <v>52</v>
      </c>
      <c r="R6" s="1" t="s">
        <v>29</v>
      </c>
    </row>
    <row r="7" ht="24" spans="1:18">
      <c r="A7" s="1" t="s">
        <v>36</v>
      </c>
      <c r="B7" s="7"/>
      <c r="C7" s="7" t="s">
        <v>50</v>
      </c>
      <c r="D7" s="2" t="s">
        <v>21</v>
      </c>
      <c r="E7" s="2" t="s">
        <v>22</v>
      </c>
      <c r="F7" s="3" t="s">
        <v>23</v>
      </c>
      <c r="G7" s="3" t="s">
        <v>53</v>
      </c>
      <c r="H7" s="2" t="s">
        <v>54</v>
      </c>
      <c r="I7" s="3" t="s">
        <v>26</v>
      </c>
      <c r="J7" s="4">
        <v>45.95</v>
      </c>
      <c r="K7" s="5">
        <v>350</v>
      </c>
      <c r="L7" s="6">
        <v>5</v>
      </c>
      <c r="M7" s="1">
        <f t="shared" si="0"/>
        <v>355</v>
      </c>
      <c r="N7" s="6">
        <v>15</v>
      </c>
      <c r="O7" s="1">
        <f t="shared" si="1"/>
        <v>16312.25</v>
      </c>
      <c r="P7" s="1" t="s">
        <v>33</v>
      </c>
      <c r="Q7" s="8" t="s">
        <v>52</v>
      </c>
      <c r="R7" s="1" t="s">
        <v>35</v>
      </c>
    </row>
    <row r="8" ht="24" spans="1:18">
      <c r="A8" s="1" t="s">
        <v>36</v>
      </c>
      <c r="B8" s="7"/>
      <c r="C8" s="7" t="s">
        <v>50</v>
      </c>
      <c r="D8" s="2" t="s">
        <v>21</v>
      </c>
      <c r="E8" s="2" t="s">
        <v>22</v>
      </c>
      <c r="F8" s="3" t="s">
        <v>23</v>
      </c>
      <c r="G8" s="3" t="s">
        <v>53</v>
      </c>
      <c r="H8" s="2" t="s">
        <v>55</v>
      </c>
      <c r="I8" s="3" t="s">
        <v>26</v>
      </c>
      <c r="J8" s="4">
        <v>48.75</v>
      </c>
      <c r="K8" s="5">
        <v>351</v>
      </c>
      <c r="L8" s="6">
        <v>5</v>
      </c>
      <c r="M8" s="1">
        <f t="shared" si="0"/>
        <v>356</v>
      </c>
      <c r="N8" s="6">
        <v>5</v>
      </c>
      <c r="O8" s="1">
        <f t="shared" si="1"/>
        <v>17355</v>
      </c>
      <c r="P8" s="1" t="s">
        <v>27</v>
      </c>
      <c r="Q8" s="8" t="s">
        <v>52</v>
      </c>
      <c r="R8" s="1" t="s">
        <v>42</v>
      </c>
    </row>
    <row r="9" ht="24" spans="1:18">
      <c r="A9" s="1" t="s">
        <v>36</v>
      </c>
      <c r="B9" s="7"/>
      <c r="C9" s="7" t="s">
        <v>50</v>
      </c>
      <c r="D9" s="2" t="s">
        <v>21</v>
      </c>
      <c r="E9" s="2" t="s">
        <v>22</v>
      </c>
      <c r="F9" s="3" t="s">
        <v>39</v>
      </c>
      <c r="G9" s="3" t="s">
        <v>53</v>
      </c>
      <c r="H9" s="2" t="s">
        <v>56</v>
      </c>
      <c r="I9" s="3" t="s">
        <v>26</v>
      </c>
      <c r="J9" s="4">
        <v>36.15</v>
      </c>
      <c r="K9" s="5">
        <v>352</v>
      </c>
      <c r="L9" s="6">
        <v>5</v>
      </c>
      <c r="M9" s="1">
        <f t="shared" si="0"/>
        <v>357</v>
      </c>
      <c r="N9" s="6">
        <v>5</v>
      </c>
      <c r="O9" s="1">
        <f t="shared" si="1"/>
        <v>12905.55</v>
      </c>
      <c r="P9" s="1" t="s">
        <v>33</v>
      </c>
      <c r="Q9" s="8" t="s">
        <v>52</v>
      </c>
      <c r="R9" s="1" t="s">
        <v>48</v>
      </c>
    </row>
    <row r="10" ht="24" spans="1:18">
      <c r="A10" s="1" t="s">
        <v>36</v>
      </c>
      <c r="B10" s="7" t="s">
        <v>57</v>
      </c>
      <c r="C10" s="7" t="s">
        <v>50</v>
      </c>
      <c r="D10" s="2" t="s">
        <v>21</v>
      </c>
      <c r="E10" s="2" t="s">
        <v>22</v>
      </c>
      <c r="F10" s="3" t="s">
        <v>39</v>
      </c>
      <c r="G10" s="3" t="s">
        <v>53</v>
      </c>
      <c r="H10" s="2" t="s">
        <v>58</v>
      </c>
      <c r="I10" s="3" t="s">
        <v>26</v>
      </c>
      <c r="J10" s="4">
        <v>27.75</v>
      </c>
      <c r="K10" s="5">
        <v>353</v>
      </c>
      <c r="L10" s="6">
        <v>5</v>
      </c>
      <c r="M10" s="1">
        <f t="shared" si="0"/>
        <v>358</v>
      </c>
      <c r="N10" s="6">
        <v>5</v>
      </c>
      <c r="O10" s="1">
        <f t="shared" si="1"/>
        <v>9934.5</v>
      </c>
      <c r="P10" s="1" t="s">
        <v>33</v>
      </c>
      <c r="Q10" s="8" t="s">
        <v>52</v>
      </c>
      <c r="R10" s="1" t="s">
        <v>35</v>
      </c>
    </row>
    <row r="11" ht="24" spans="1:18">
      <c r="A11" s="1" t="s">
        <v>36</v>
      </c>
      <c r="B11" s="7"/>
      <c r="C11" s="9" t="s">
        <v>50</v>
      </c>
      <c r="D11" s="2" t="s">
        <v>21</v>
      </c>
      <c r="E11" s="2" t="s">
        <v>22</v>
      </c>
      <c r="F11" s="3" t="s">
        <v>39</v>
      </c>
      <c r="G11" s="3" t="s">
        <v>53</v>
      </c>
      <c r="H11" s="2" t="s">
        <v>59</v>
      </c>
      <c r="I11" s="3" t="s">
        <v>26</v>
      </c>
      <c r="J11" s="4">
        <v>29.15</v>
      </c>
      <c r="K11" s="5">
        <v>354</v>
      </c>
      <c r="L11" s="6">
        <v>5</v>
      </c>
      <c r="M11" s="1">
        <f t="shared" si="0"/>
        <v>359</v>
      </c>
      <c r="N11" s="6">
        <v>5</v>
      </c>
      <c r="O11" s="1">
        <f t="shared" si="1"/>
        <v>10464.85</v>
      </c>
      <c r="P11" s="1" t="s">
        <v>27</v>
      </c>
      <c r="Q11" s="8" t="s">
        <v>52</v>
      </c>
      <c r="R11" s="1" t="s">
        <v>29</v>
      </c>
    </row>
    <row r="12" spans="1:18">
      <c r="A12" s="1" t="s">
        <v>36</v>
      </c>
      <c r="B12" s="7" t="s">
        <v>60</v>
      </c>
      <c r="C12" s="7" t="s">
        <v>61</v>
      </c>
      <c r="D12" s="2" t="s">
        <v>21</v>
      </c>
      <c r="E12" s="2" t="s">
        <v>22</v>
      </c>
      <c r="F12" s="3" t="s">
        <v>23</v>
      </c>
      <c r="G12" s="3" t="s">
        <v>62</v>
      </c>
      <c r="H12" s="2" t="s">
        <v>63</v>
      </c>
      <c r="I12" s="3" t="s">
        <v>26</v>
      </c>
      <c r="J12" s="4">
        <v>41.75</v>
      </c>
      <c r="K12" s="5">
        <v>355</v>
      </c>
      <c r="L12" s="6">
        <v>5</v>
      </c>
      <c r="M12" s="1">
        <f t="shared" si="0"/>
        <v>360</v>
      </c>
      <c r="N12" s="6">
        <v>5</v>
      </c>
      <c r="O12" s="1">
        <f t="shared" si="1"/>
        <v>15030</v>
      </c>
      <c r="P12" s="1" t="s">
        <v>33</v>
      </c>
      <c r="Q12" s="10" t="s">
        <v>64</v>
      </c>
      <c r="R12" s="1" t="s">
        <v>35</v>
      </c>
    </row>
    <row r="13" spans="1:18">
      <c r="A13" s="1" t="s">
        <v>36</v>
      </c>
      <c r="B13" s="7" t="s">
        <v>65</v>
      </c>
      <c r="C13" s="7" t="s">
        <v>66</v>
      </c>
      <c r="D13" s="2" t="s">
        <v>21</v>
      </c>
      <c r="E13" s="2" t="s">
        <v>22</v>
      </c>
      <c r="F13" s="3" t="s">
        <v>23</v>
      </c>
      <c r="G13" s="3" t="s">
        <v>62</v>
      </c>
      <c r="H13" s="2" t="s">
        <v>67</v>
      </c>
      <c r="I13" s="3" t="s">
        <v>26</v>
      </c>
      <c r="J13" s="4">
        <v>35.45</v>
      </c>
      <c r="K13" s="5">
        <v>356</v>
      </c>
      <c r="L13" s="6">
        <v>5</v>
      </c>
      <c r="M13" s="1">
        <f t="shared" si="0"/>
        <v>361</v>
      </c>
      <c r="N13" s="6">
        <v>5</v>
      </c>
      <c r="O13" s="1">
        <f t="shared" si="1"/>
        <v>12797.45</v>
      </c>
      <c r="P13" s="1" t="s">
        <v>33</v>
      </c>
      <c r="Q13" s="10" t="s">
        <v>64</v>
      </c>
      <c r="R13" s="1" t="s">
        <v>42</v>
      </c>
    </row>
    <row r="14" spans="1:18">
      <c r="A14" s="1" t="s">
        <v>36</v>
      </c>
      <c r="B14" s="7" t="s">
        <v>68</v>
      </c>
      <c r="C14" s="7" t="s">
        <v>66</v>
      </c>
      <c r="D14" s="2" t="s">
        <v>21</v>
      </c>
      <c r="E14" s="2" t="s">
        <v>22</v>
      </c>
      <c r="F14" s="3" t="s">
        <v>23</v>
      </c>
      <c r="G14" s="3" t="s">
        <v>62</v>
      </c>
      <c r="H14" s="2" t="s">
        <v>69</v>
      </c>
      <c r="I14" s="3" t="s">
        <v>26</v>
      </c>
      <c r="J14" s="4">
        <v>38.95</v>
      </c>
      <c r="K14" s="5">
        <v>357</v>
      </c>
      <c r="L14" s="6">
        <v>5</v>
      </c>
      <c r="M14" s="1">
        <f t="shared" si="0"/>
        <v>362</v>
      </c>
      <c r="N14" s="6">
        <v>5</v>
      </c>
      <c r="O14" s="1">
        <f t="shared" si="1"/>
        <v>14099.9</v>
      </c>
      <c r="P14" s="1" t="s">
        <v>27</v>
      </c>
      <c r="Q14" s="10" t="s">
        <v>64</v>
      </c>
      <c r="R14" s="1" t="s">
        <v>48</v>
      </c>
    </row>
    <row r="15" ht="21.6" spans="1:18">
      <c r="A15" s="1" t="s">
        <v>36</v>
      </c>
      <c r="B15" s="7" t="s">
        <v>70</v>
      </c>
      <c r="C15" s="7" t="s">
        <v>66</v>
      </c>
      <c r="D15" s="2" t="s">
        <v>21</v>
      </c>
      <c r="E15" s="2" t="s">
        <v>22</v>
      </c>
      <c r="F15" s="3" t="s">
        <v>39</v>
      </c>
      <c r="G15" s="3" t="s">
        <v>62</v>
      </c>
      <c r="H15" s="2" t="s">
        <v>71</v>
      </c>
      <c r="I15" s="3" t="s">
        <v>26</v>
      </c>
      <c r="J15" s="4">
        <v>37.55</v>
      </c>
      <c r="K15" s="5">
        <v>358</v>
      </c>
      <c r="L15" s="6">
        <v>5</v>
      </c>
      <c r="M15" s="1">
        <f t="shared" si="0"/>
        <v>363</v>
      </c>
      <c r="N15" s="6">
        <v>5</v>
      </c>
      <c r="O15" s="1">
        <f t="shared" si="1"/>
        <v>13630.65</v>
      </c>
      <c r="P15" s="1" t="s">
        <v>33</v>
      </c>
      <c r="Q15" s="10" t="s">
        <v>64</v>
      </c>
      <c r="R15" s="1" t="s">
        <v>35</v>
      </c>
    </row>
    <row r="16" ht="21.6" spans="1:18">
      <c r="A16" s="1" t="s">
        <v>36</v>
      </c>
      <c r="B16" s="7"/>
      <c r="C16" s="7" t="s">
        <v>66</v>
      </c>
      <c r="D16" s="2" t="s">
        <v>21</v>
      </c>
      <c r="E16" s="2" t="s">
        <v>22</v>
      </c>
      <c r="F16" s="3" t="s">
        <v>39</v>
      </c>
      <c r="G16" s="3" t="s">
        <v>62</v>
      </c>
      <c r="H16" s="2" t="s">
        <v>72</v>
      </c>
      <c r="I16" s="3" t="s">
        <v>26</v>
      </c>
      <c r="J16" s="4">
        <v>36.15</v>
      </c>
      <c r="K16" s="5">
        <v>359</v>
      </c>
      <c r="L16" s="6">
        <v>5</v>
      </c>
      <c r="M16" s="1">
        <f t="shared" si="0"/>
        <v>364</v>
      </c>
      <c r="N16" s="6">
        <v>5</v>
      </c>
      <c r="O16" s="1">
        <f t="shared" si="1"/>
        <v>13158.6</v>
      </c>
      <c r="P16" s="1" t="s">
        <v>33</v>
      </c>
      <c r="Q16" s="10" t="s">
        <v>64</v>
      </c>
      <c r="R16" s="1" t="s">
        <v>35</v>
      </c>
    </row>
    <row r="17" ht="21.6" spans="1:18">
      <c r="A17" s="1" t="s">
        <v>36</v>
      </c>
      <c r="B17" s="9" t="s">
        <v>73</v>
      </c>
      <c r="C17" s="9" t="s">
        <v>66</v>
      </c>
      <c r="D17" s="2" t="s">
        <v>21</v>
      </c>
      <c r="E17" s="2" t="s">
        <v>22</v>
      </c>
      <c r="F17" s="3" t="s">
        <v>39</v>
      </c>
      <c r="G17" s="3" t="s">
        <v>62</v>
      </c>
      <c r="H17" s="2" t="s">
        <v>74</v>
      </c>
      <c r="I17" s="3" t="s">
        <v>26</v>
      </c>
      <c r="J17" s="4">
        <v>38.25</v>
      </c>
      <c r="K17" s="5">
        <v>360</v>
      </c>
      <c r="L17" s="6">
        <v>5</v>
      </c>
      <c r="M17" s="1">
        <f t="shared" si="0"/>
        <v>365</v>
      </c>
      <c r="N17" s="6">
        <v>5</v>
      </c>
      <c r="O17" s="1">
        <f t="shared" si="1"/>
        <v>13961.25</v>
      </c>
      <c r="P17" s="1" t="s">
        <v>27</v>
      </c>
      <c r="Q17" s="10" t="s">
        <v>64</v>
      </c>
      <c r="R17" s="1" t="s">
        <v>35</v>
      </c>
    </row>
    <row r="18" ht="21.6" spans="1:18">
      <c r="A18" s="1" t="s">
        <v>36</v>
      </c>
      <c r="B18" s="7" t="s">
        <v>75</v>
      </c>
      <c r="C18" s="7" t="s">
        <v>61</v>
      </c>
      <c r="D18" s="2" t="s">
        <v>21</v>
      </c>
      <c r="E18" s="2" t="s">
        <v>22</v>
      </c>
      <c r="F18" s="3" t="s">
        <v>39</v>
      </c>
      <c r="G18" s="3" t="s">
        <v>62</v>
      </c>
      <c r="H18" s="2" t="s">
        <v>76</v>
      </c>
      <c r="I18" s="3" t="s">
        <v>26</v>
      </c>
      <c r="J18" s="4">
        <v>35.45</v>
      </c>
      <c r="K18" s="5">
        <v>361</v>
      </c>
      <c r="L18" s="6">
        <v>5</v>
      </c>
      <c r="M18" s="1">
        <f t="shared" si="0"/>
        <v>366</v>
      </c>
      <c r="N18" s="6">
        <v>5</v>
      </c>
      <c r="O18" s="1">
        <f t="shared" si="1"/>
        <v>12974.7</v>
      </c>
      <c r="P18" s="1" t="s">
        <v>33</v>
      </c>
      <c r="Q18" s="10" t="s">
        <v>64</v>
      </c>
      <c r="R18" s="1" t="s">
        <v>35</v>
      </c>
    </row>
    <row r="19" spans="1:18">
      <c r="A19" s="1" t="s">
        <v>36</v>
      </c>
      <c r="B19" s="7" t="s">
        <v>57</v>
      </c>
      <c r="C19" s="7" t="s">
        <v>61</v>
      </c>
      <c r="D19" s="2" t="s">
        <v>21</v>
      </c>
      <c r="E19" s="2" t="s">
        <v>22</v>
      </c>
      <c r="F19" s="3" t="s">
        <v>23</v>
      </c>
      <c r="G19" s="3" t="s">
        <v>77</v>
      </c>
      <c r="H19" s="2" t="s">
        <v>63</v>
      </c>
      <c r="I19" s="3" t="s">
        <v>26</v>
      </c>
      <c r="J19" s="4">
        <v>34.75</v>
      </c>
      <c r="K19" s="5">
        <v>362</v>
      </c>
      <c r="L19" s="6">
        <v>5</v>
      </c>
      <c r="M19" s="1">
        <f t="shared" si="0"/>
        <v>367</v>
      </c>
      <c r="N19" s="6">
        <v>5</v>
      </c>
      <c r="O19" s="1">
        <f t="shared" si="1"/>
        <v>12753.25</v>
      </c>
      <c r="P19" s="1" t="s">
        <v>33</v>
      </c>
      <c r="Q19" s="10" t="s">
        <v>64</v>
      </c>
      <c r="R19" s="1" t="s">
        <v>35</v>
      </c>
    </row>
    <row r="20" spans="1:18">
      <c r="A20" s="1" t="s">
        <v>36</v>
      </c>
      <c r="B20" s="7" t="s">
        <v>57</v>
      </c>
      <c r="C20" s="7" t="s">
        <v>61</v>
      </c>
      <c r="D20" s="2" t="s">
        <v>21</v>
      </c>
      <c r="E20" s="2" t="s">
        <v>22</v>
      </c>
      <c r="F20" s="3" t="s">
        <v>23</v>
      </c>
      <c r="G20" s="3" t="s">
        <v>77</v>
      </c>
      <c r="H20" s="2" t="s">
        <v>67</v>
      </c>
      <c r="I20" s="3" t="s">
        <v>26</v>
      </c>
      <c r="J20" s="4">
        <v>30.55</v>
      </c>
      <c r="K20" s="5">
        <v>363</v>
      </c>
      <c r="L20" s="6">
        <v>5</v>
      </c>
      <c r="M20" s="1">
        <f t="shared" si="0"/>
        <v>368</v>
      </c>
      <c r="N20" s="6">
        <v>5</v>
      </c>
      <c r="O20" s="1">
        <f t="shared" si="1"/>
        <v>11242.4</v>
      </c>
      <c r="P20" s="1" t="s">
        <v>27</v>
      </c>
      <c r="Q20" s="10" t="s">
        <v>64</v>
      </c>
      <c r="R20" s="1" t="s">
        <v>35</v>
      </c>
    </row>
    <row r="21" spans="1:18">
      <c r="A21" s="1" t="s">
        <v>36</v>
      </c>
      <c r="B21" s="7" t="s">
        <v>57</v>
      </c>
      <c r="C21" s="7" t="s">
        <v>61</v>
      </c>
      <c r="D21" s="2" t="s">
        <v>21</v>
      </c>
      <c r="E21" s="2" t="s">
        <v>22</v>
      </c>
      <c r="F21" s="3" t="s">
        <v>23</v>
      </c>
      <c r="G21" s="3" t="s">
        <v>77</v>
      </c>
      <c r="H21" s="2" t="s">
        <v>69</v>
      </c>
      <c r="I21" s="3" t="s">
        <v>26</v>
      </c>
      <c r="J21" s="4">
        <v>36.85</v>
      </c>
      <c r="K21" s="5">
        <v>364</v>
      </c>
      <c r="L21" s="6">
        <v>5</v>
      </c>
      <c r="M21" s="1">
        <f t="shared" si="0"/>
        <v>369</v>
      </c>
      <c r="N21" s="6">
        <v>5</v>
      </c>
      <c r="O21" s="1">
        <f t="shared" si="1"/>
        <v>13597.65</v>
      </c>
      <c r="P21" s="1" t="s">
        <v>33</v>
      </c>
      <c r="Q21" s="10" t="s">
        <v>64</v>
      </c>
      <c r="R21" s="1" t="s">
        <v>35</v>
      </c>
    </row>
    <row r="22" ht="21.6" spans="1:18">
      <c r="A22" s="1" t="s">
        <v>36</v>
      </c>
      <c r="B22" s="7" t="s">
        <v>68</v>
      </c>
      <c r="C22" s="7" t="s">
        <v>61</v>
      </c>
      <c r="D22" s="2" t="s">
        <v>21</v>
      </c>
      <c r="E22" s="2" t="s">
        <v>22</v>
      </c>
      <c r="F22" s="3" t="s">
        <v>39</v>
      </c>
      <c r="G22" s="3" t="s">
        <v>77</v>
      </c>
      <c r="H22" s="2" t="s">
        <v>71</v>
      </c>
      <c r="I22" s="3" t="s">
        <v>26</v>
      </c>
      <c r="J22" s="4">
        <v>33.35</v>
      </c>
      <c r="K22" s="5">
        <v>365</v>
      </c>
      <c r="L22" s="6">
        <v>5</v>
      </c>
      <c r="M22" s="1">
        <f t="shared" si="0"/>
        <v>370</v>
      </c>
      <c r="N22" s="6">
        <v>5</v>
      </c>
      <c r="O22" s="1">
        <f t="shared" si="1"/>
        <v>12339.5</v>
      </c>
      <c r="P22" s="1" t="s">
        <v>33</v>
      </c>
      <c r="Q22" s="10" t="s">
        <v>64</v>
      </c>
      <c r="R22" s="1" t="s">
        <v>35</v>
      </c>
    </row>
    <row r="23" ht="48" spans="1:18">
      <c r="A23" s="1" t="s">
        <v>36</v>
      </c>
      <c r="B23" s="7" t="s">
        <v>68</v>
      </c>
      <c r="C23" s="7" t="s">
        <v>78</v>
      </c>
      <c r="D23" s="2" t="s">
        <v>21</v>
      </c>
      <c r="E23" s="2" t="s">
        <v>22</v>
      </c>
      <c r="F23" s="3" t="s">
        <v>39</v>
      </c>
      <c r="G23" s="3" t="s">
        <v>77</v>
      </c>
      <c r="H23" s="2" t="s">
        <v>72</v>
      </c>
      <c r="I23" s="3" t="s">
        <v>26</v>
      </c>
      <c r="J23" s="4">
        <v>34.75</v>
      </c>
      <c r="K23" s="5">
        <v>366</v>
      </c>
      <c r="L23" s="6">
        <v>5</v>
      </c>
      <c r="M23" s="1">
        <f t="shared" si="0"/>
        <v>371</v>
      </c>
      <c r="N23" s="6">
        <v>5</v>
      </c>
      <c r="O23" s="1">
        <f t="shared" si="1"/>
        <v>12892.25</v>
      </c>
      <c r="P23" s="1" t="s">
        <v>27</v>
      </c>
      <c r="Q23" s="8" t="s">
        <v>79</v>
      </c>
      <c r="R23" s="1" t="s">
        <v>35</v>
      </c>
    </row>
    <row r="24" ht="48" spans="1:18">
      <c r="A24" s="1" t="s">
        <v>36</v>
      </c>
      <c r="B24" s="7" t="s">
        <v>68</v>
      </c>
      <c r="C24" s="7" t="s">
        <v>80</v>
      </c>
      <c r="D24" s="2" t="s">
        <v>21</v>
      </c>
      <c r="E24" s="2" t="s">
        <v>22</v>
      </c>
      <c r="F24" s="3" t="s">
        <v>39</v>
      </c>
      <c r="G24" s="3" t="s">
        <v>77</v>
      </c>
      <c r="H24" s="2" t="s">
        <v>74</v>
      </c>
      <c r="I24" s="3" t="s">
        <v>26</v>
      </c>
      <c r="J24" s="4">
        <v>36.15</v>
      </c>
      <c r="K24" s="5">
        <v>367</v>
      </c>
      <c r="L24" s="6">
        <v>5</v>
      </c>
      <c r="M24" s="1">
        <f t="shared" si="0"/>
        <v>372</v>
      </c>
      <c r="N24" s="6">
        <v>5</v>
      </c>
      <c r="O24" s="1">
        <f t="shared" si="1"/>
        <v>13447.8</v>
      </c>
      <c r="P24" s="1" t="s">
        <v>33</v>
      </c>
      <c r="Q24" s="8" t="s">
        <v>81</v>
      </c>
      <c r="R24" s="1" t="s">
        <v>35</v>
      </c>
    </row>
    <row r="25" ht="36" spans="1:18">
      <c r="A25" s="1" t="s">
        <v>18</v>
      </c>
      <c r="B25" s="9" t="s">
        <v>70</v>
      </c>
      <c r="C25" s="7" t="s">
        <v>82</v>
      </c>
      <c r="D25" s="2" t="s">
        <v>21</v>
      </c>
      <c r="E25" s="2" t="s">
        <v>22</v>
      </c>
      <c r="F25" s="3" t="s">
        <v>23</v>
      </c>
      <c r="G25" s="3" t="s">
        <v>83</v>
      </c>
      <c r="H25" s="2" t="s">
        <v>84</v>
      </c>
      <c r="I25" s="3" t="s">
        <v>26</v>
      </c>
      <c r="J25" s="4">
        <v>17.95</v>
      </c>
      <c r="K25" s="5">
        <v>368</v>
      </c>
      <c r="L25" s="6">
        <v>5</v>
      </c>
      <c r="M25" s="1">
        <f t="shared" si="0"/>
        <v>373</v>
      </c>
      <c r="N25" s="6">
        <v>5</v>
      </c>
      <c r="O25" s="1">
        <f t="shared" si="1"/>
        <v>6695.35</v>
      </c>
      <c r="P25" s="1" t="s">
        <v>33</v>
      </c>
      <c r="Q25" s="8" t="s">
        <v>85</v>
      </c>
      <c r="R25" s="1" t="s">
        <v>35</v>
      </c>
    </row>
    <row r="26" ht="36" spans="1:18">
      <c r="A26" s="1" t="s">
        <v>18</v>
      </c>
      <c r="B26" s="7" t="s">
        <v>86</v>
      </c>
      <c r="C26" s="7" t="s">
        <v>82</v>
      </c>
      <c r="D26" s="2" t="s">
        <v>21</v>
      </c>
      <c r="E26" s="2" t="s">
        <v>22</v>
      </c>
      <c r="F26" s="3" t="s">
        <v>23</v>
      </c>
      <c r="G26" s="3" t="s">
        <v>83</v>
      </c>
      <c r="H26" s="2" t="s">
        <v>87</v>
      </c>
      <c r="I26" s="3" t="s">
        <v>26</v>
      </c>
      <c r="J26" s="4">
        <v>16.55</v>
      </c>
      <c r="K26" s="5">
        <v>369</v>
      </c>
      <c r="L26" s="6">
        <v>5</v>
      </c>
      <c r="M26" s="1">
        <f t="shared" si="0"/>
        <v>374</v>
      </c>
      <c r="N26" s="6">
        <v>5</v>
      </c>
      <c r="O26" s="1">
        <f t="shared" si="1"/>
        <v>6189.7</v>
      </c>
      <c r="P26" s="1" t="s">
        <v>27</v>
      </c>
      <c r="Q26" s="8" t="s">
        <v>85</v>
      </c>
      <c r="R26" s="1" t="s">
        <v>35</v>
      </c>
    </row>
    <row r="27" ht="60" spans="1:18">
      <c r="A27" s="1" t="s">
        <v>18</v>
      </c>
      <c r="B27" s="7" t="s">
        <v>88</v>
      </c>
      <c r="C27" s="7" t="s">
        <v>89</v>
      </c>
      <c r="D27" s="2" t="s">
        <v>21</v>
      </c>
      <c r="E27" s="2" t="s">
        <v>22</v>
      </c>
      <c r="F27" s="3" t="s">
        <v>23</v>
      </c>
      <c r="G27" s="3" t="s">
        <v>83</v>
      </c>
      <c r="H27" s="2" t="s">
        <v>90</v>
      </c>
      <c r="I27" s="3" t="s">
        <v>26</v>
      </c>
      <c r="J27" s="4">
        <v>27.05</v>
      </c>
      <c r="K27" s="5">
        <v>370</v>
      </c>
      <c r="L27" s="6">
        <v>5</v>
      </c>
      <c r="M27" s="1">
        <f t="shared" si="0"/>
        <v>375</v>
      </c>
      <c r="N27" s="6">
        <v>5</v>
      </c>
      <c r="O27" s="1">
        <f t="shared" si="1"/>
        <v>10143.75</v>
      </c>
      <c r="P27" s="1" t="s">
        <v>33</v>
      </c>
      <c r="Q27" s="11" t="s">
        <v>91</v>
      </c>
      <c r="R27" s="1" t="s">
        <v>35</v>
      </c>
    </row>
    <row r="28" ht="21.6" spans="1:18">
      <c r="A28" s="1" t="s">
        <v>18</v>
      </c>
      <c r="B28" s="7"/>
      <c r="C28" s="9" t="s">
        <v>92</v>
      </c>
      <c r="D28" s="2" t="s">
        <v>21</v>
      </c>
      <c r="E28" s="2" t="s">
        <v>22</v>
      </c>
      <c r="F28" s="3" t="s">
        <v>23</v>
      </c>
      <c r="G28" s="3" t="s">
        <v>83</v>
      </c>
      <c r="H28" s="2" t="s">
        <v>93</v>
      </c>
      <c r="I28" s="3" t="s">
        <v>26</v>
      </c>
      <c r="J28" s="4">
        <v>34.75</v>
      </c>
      <c r="K28" s="5">
        <v>371</v>
      </c>
      <c r="L28" s="6">
        <v>5</v>
      </c>
      <c r="M28" s="1">
        <f t="shared" si="0"/>
        <v>376</v>
      </c>
      <c r="N28" s="6">
        <v>5</v>
      </c>
      <c r="O28" s="1">
        <f t="shared" si="1"/>
        <v>13066</v>
      </c>
      <c r="P28" s="1" t="s">
        <v>33</v>
      </c>
      <c r="Q28" s="10" t="s">
        <v>64</v>
      </c>
      <c r="R28" s="1" t="s">
        <v>35</v>
      </c>
    </row>
    <row r="29" ht="43.2" spans="1:18">
      <c r="A29" s="1" t="s">
        <v>18</v>
      </c>
      <c r="B29" s="7"/>
      <c r="C29" s="9" t="s">
        <v>94</v>
      </c>
      <c r="D29" s="2" t="s">
        <v>21</v>
      </c>
      <c r="E29" s="2" t="s">
        <v>22</v>
      </c>
      <c r="F29" s="3" t="s">
        <v>39</v>
      </c>
      <c r="G29" s="3" t="s">
        <v>83</v>
      </c>
      <c r="H29" s="2" t="s">
        <v>95</v>
      </c>
      <c r="I29" s="3" t="s">
        <v>26</v>
      </c>
      <c r="J29" s="4">
        <v>31.95</v>
      </c>
      <c r="K29" s="5">
        <v>372</v>
      </c>
      <c r="L29" s="6">
        <v>5</v>
      </c>
      <c r="M29" s="1">
        <f t="shared" si="0"/>
        <v>377</v>
      </c>
      <c r="N29" s="6">
        <v>5</v>
      </c>
      <c r="O29" s="1">
        <f t="shared" si="1"/>
        <v>12045.15</v>
      </c>
      <c r="P29" s="1" t="s">
        <v>27</v>
      </c>
      <c r="Q29" s="10" t="s">
        <v>96</v>
      </c>
      <c r="R29" s="1" t="s">
        <v>35</v>
      </c>
    </row>
    <row r="30" ht="32.4" spans="1:18">
      <c r="A30" s="1" t="s">
        <v>18</v>
      </c>
      <c r="B30" s="7"/>
      <c r="C30" s="9" t="s">
        <v>97</v>
      </c>
      <c r="D30" s="2" t="s">
        <v>21</v>
      </c>
      <c r="E30" s="2" t="s">
        <v>22</v>
      </c>
      <c r="F30" s="3" t="s">
        <v>39</v>
      </c>
      <c r="G30" s="3" t="s">
        <v>83</v>
      </c>
      <c r="H30" s="2" t="s">
        <v>98</v>
      </c>
      <c r="I30" s="3" t="s">
        <v>26</v>
      </c>
      <c r="J30" s="4">
        <v>24.95</v>
      </c>
      <c r="K30" s="5">
        <v>373</v>
      </c>
      <c r="L30" s="6">
        <v>5</v>
      </c>
      <c r="M30" s="1">
        <f t="shared" si="0"/>
        <v>378</v>
      </c>
      <c r="N30" s="6">
        <v>5</v>
      </c>
      <c r="O30" s="1">
        <f t="shared" si="1"/>
        <v>9431.1</v>
      </c>
      <c r="P30" s="1" t="s">
        <v>33</v>
      </c>
      <c r="Q30" s="10" t="s">
        <v>99</v>
      </c>
      <c r="R30" s="1" t="s">
        <v>35</v>
      </c>
    </row>
    <row r="31" ht="32.4" spans="1:18">
      <c r="A31" s="1" t="s">
        <v>18</v>
      </c>
      <c r="B31" s="7"/>
      <c r="C31" s="7" t="s">
        <v>100</v>
      </c>
      <c r="D31" s="2" t="s">
        <v>21</v>
      </c>
      <c r="E31" s="2" t="s">
        <v>22</v>
      </c>
      <c r="F31" s="3" t="s">
        <v>39</v>
      </c>
      <c r="G31" s="3" t="s">
        <v>83</v>
      </c>
      <c r="H31" s="2" t="s">
        <v>101</v>
      </c>
      <c r="I31" s="3" t="s">
        <v>26</v>
      </c>
      <c r="J31" s="4">
        <v>29.15</v>
      </c>
      <c r="K31" s="5">
        <v>374</v>
      </c>
      <c r="L31" s="6">
        <v>5</v>
      </c>
      <c r="M31" s="1">
        <f t="shared" si="0"/>
        <v>379</v>
      </c>
      <c r="N31" s="6">
        <v>5</v>
      </c>
      <c r="O31" s="1">
        <f t="shared" si="1"/>
        <v>11047.85</v>
      </c>
      <c r="P31" s="1" t="s">
        <v>33</v>
      </c>
      <c r="Q31" s="8" t="s">
        <v>102</v>
      </c>
      <c r="R31" s="1" t="s">
        <v>35</v>
      </c>
    </row>
    <row r="32" spans="1:18">
      <c r="A32" s="1" t="s">
        <v>18</v>
      </c>
      <c r="B32" s="9"/>
      <c r="C32" s="7" t="s">
        <v>103</v>
      </c>
      <c r="D32" s="2" t="s">
        <v>21</v>
      </c>
      <c r="E32" s="2" t="s">
        <v>22</v>
      </c>
      <c r="F32" s="3" t="s">
        <v>23</v>
      </c>
      <c r="G32" s="3" t="s">
        <v>104</v>
      </c>
      <c r="H32" s="2" t="s">
        <v>63</v>
      </c>
      <c r="I32" s="3" t="s">
        <v>26</v>
      </c>
      <c r="J32" s="4">
        <v>31.95</v>
      </c>
      <c r="K32" s="5">
        <v>375</v>
      </c>
      <c r="L32" s="6">
        <v>5</v>
      </c>
      <c r="M32" s="1">
        <f t="shared" si="0"/>
        <v>380</v>
      </c>
      <c r="N32" s="6">
        <v>5</v>
      </c>
      <c r="O32" s="1">
        <f t="shared" si="1"/>
        <v>12141</v>
      </c>
      <c r="P32" s="1" t="s">
        <v>27</v>
      </c>
      <c r="Q32" s="8" t="s">
        <v>105</v>
      </c>
      <c r="R32" s="1" t="s">
        <v>35</v>
      </c>
    </row>
    <row r="33" spans="1:18">
      <c r="A33" s="1" t="s">
        <v>18</v>
      </c>
      <c r="B33" s="7" t="s">
        <v>106</v>
      </c>
      <c r="C33" s="7" t="s">
        <v>103</v>
      </c>
      <c r="D33" s="2" t="s">
        <v>21</v>
      </c>
      <c r="E33" s="2" t="s">
        <v>22</v>
      </c>
      <c r="F33" s="3" t="s">
        <v>23</v>
      </c>
      <c r="G33" s="3" t="s">
        <v>104</v>
      </c>
      <c r="H33" s="2" t="s">
        <v>67</v>
      </c>
      <c r="I33" s="3" t="s">
        <v>26</v>
      </c>
      <c r="J33" s="4">
        <v>31.25</v>
      </c>
      <c r="K33" s="5">
        <v>376</v>
      </c>
      <c r="L33" s="6">
        <v>5</v>
      </c>
      <c r="M33" s="1">
        <f t="shared" si="0"/>
        <v>381</v>
      </c>
      <c r="N33" s="6">
        <v>5</v>
      </c>
      <c r="O33" s="1">
        <f t="shared" si="1"/>
        <v>11906.25</v>
      </c>
      <c r="P33" s="1" t="s">
        <v>27</v>
      </c>
      <c r="Q33" s="7"/>
      <c r="R33" s="1" t="s">
        <v>35</v>
      </c>
    </row>
    <row r="34" ht="32.4" spans="1:18">
      <c r="A34" s="1" t="s">
        <v>18</v>
      </c>
      <c r="B34" s="7" t="s">
        <v>107</v>
      </c>
      <c r="C34" s="9" t="s">
        <v>61</v>
      </c>
      <c r="D34" s="2" t="s">
        <v>21</v>
      </c>
      <c r="E34" s="2" t="s">
        <v>22</v>
      </c>
      <c r="F34" s="3" t="s">
        <v>39</v>
      </c>
      <c r="G34" s="3" t="s">
        <v>104</v>
      </c>
      <c r="H34" s="2" t="s">
        <v>108</v>
      </c>
      <c r="I34" s="3" t="s">
        <v>26</v>
      </c>
      <c r="J34" s="4">
        <v>29.15</v>
      </c>
      <c r="K34" s="5">
        <v>377</v>
      </c>
      <c r="L34" s="6">
        <v>5</v>
      </c>
      <c r="M34" s="1">
        <f t="shared" si="0"/>
        <v>382</v>
      </c>
      <c r="N34" s="6">
        <v>5</v>
      </c>
      <c r="O34" s="1">
        <f t="shared" si="1"/>
        <v>11135.3</v>
      </c>
      <c r="P34" s="1" t="s">
        <v>27</v>
      </c>
      <c r="Q34" s="10" t="s">
        <v>109</v>
      </c>
      <c r="R34" s="1" t="s">
        <v>35</v>
      </c>
    </row>
    <row r="35" ht="32.4" spans="1:18">
      <c r="A35" s="1" t="s">
        <v>18</v>
      </c>
      <c r="B35" s="7"/>
      <c r="C35" s="9" t="s">
        <v>110</v>
      </c>
      <c r="D35" s="2" t="s">
        <v>21</v>
      </c>
      <c r="E35" s="2" t="s">
        <v>22</v>
      </c>
      <c r="F35" s="3" t="s">
        <v>39</v>
      </c>
      <c r="G35" s="3" t="s">
        <v>104</v>
      </c>
      <c r="H35" s="2" t="s">
        <v>111</v>
      </c>
      <c r="I35" s="3" t="s">
        <v>26</v>
      </c>
      <c r="J35" s="4">
        <v>27.05</v>
      </c>
      <c r="K35" s="5">
        <v>378</v>
      </c>
      <c r="L35" s="6">
        <v>5</v>
      </c>
      <c r="M35" s="1">
        <f t="shared" ref="M35:M66" si="2">L35+K35</f>
        <v>383</v>
      </c>
      <c r="N35" s="6">
        <v>5</v>
      </c>
      <c r="O35" s="1">
        <f t="shared" ref="O35:O66" si="3">M35*J35</f>
        <v>10360.15</v>
      </c>
      <c r="P35" s="1" t="s">
        <v>27</v>
      </c>
      <c r="Q35" s="10" t="s">
        <v>112</v>
      </c>
      <c r="R35" s="1" t="s">
        <v>35</v>
      </c>
    </row>
    <row r="36" ht="43.2" spans="1:18">
      <c r="A36" s="1" t="s">
        <v>18</v>
      </c>
      <c r="B36" s="7"/>
      <c r="C36" s="7" t="s">
        <v>113</v>
      </c>
      <c r="D36" s="2" t="s">
        <v>21</v>
      </c>
      <c r="E36" s="2" t="s">
        <v>22</v>
      </c>
      <c r="F36" s="3" t="s">
        <v>39</v>
      </c>
      <c r="G36" s="3" t="s">
        <v>104</v>
      </c>
      <c r="H36" s="2" t="s">
        <v>114</v>
      </c>
      <c r="I36" s="3" t="s">
        <v>26</v>
      </c>
      <c r="J36" s="4">
        <v>27.75</v>
      </c>
      <c r="K36" s="5">
        <v>379</v>
      </c>
      <c r="L36" s="6">
        <v>5</v>
      </c>
      <c r="M36" s="1">
        <f t="shared" si="2"/>
        <v>384</v>
      </c>
      <c r="N36" s="6">
        <v>5</v>
      </c>
      <c r="O36" s="1">
        <f t="shared" si="3"/>
        <v>10656</v>
      </c>
      <c r="P36" s="1" t="s">
        <v>27</v>
      </c>
      <c r="Q36" s="8" t="s">
        <v>115</v>
      </c>
      <c r="R36" s="1" t="s">
        <v>35</v>
      </c>
    </row>
    <row r="37" ht="32.4" spans="1:18">
      <c r="A37" s="1" t="s">
        <v>18</v>
      </c>
      <c r="B37" s="7"/>
      <c r="C37" s="9" t="s">
        <v>113</v>
      </c>
      <c r="D37" s="2" t="s">
        <v>21</v>
      </c>
      <c r="E37" s="2" t="s">
        <v>116</v>
      </c>
      <c r="F37" s="3" t="s">
        <v>23</v>
      </c>
      <c r="G37" s="3" t="s">
        <v>117</v>
      </c>
      <c r="H37" s="2" t="s">
        <v>118</v>
      </c>
      <c r="I37" s="3" t="s">
        <v>26</v>
      </c>
      <c r="J37" s="4">
        <v>31.95</v>
      </c>
      <c r="K37" s="5">
        <v>380</v>
      </c>
      <c r="L37" s="6">
        <v>5</v>
      </c>
      <c r="M37" s="1">
        <f t="shared" si="2"/>
        <v>385</v>
      </c>
      <c r="N37" s="6">
        <v>5</v>
      </c>
      <c r="O37" s="1">
        <f t="shared" si="3"/>
        <v>12300.75</v>
      </c>
      <c r="P37" s="1" t="s">
        <v>27</v>
      </c>
      <c r="Q37" s="10" t="s">
        <v>112</v>
      </c>
      <c r="R37" s="1" t="s">
        <v>35</v>
      </c>
    </row>
    <row r="38" ht="32.4" spans="1:18">
      <c r="A38" s="1" t="s">
        <v>18</v>
      </c>
      <c r="B38" s="9"/>
      <c r="C38" s="7" t="s">
        <v>119</v>
      </c>
      <c r="D38" s="2" t="s">
        <v>21</v>
      </c>
      <c r="E38" s="2" t="s">
        <v>116</v>
      </c>
      <c r="F38" s="3" t="s">
        <v>23</v>
      </c>
      <c r="G38" s="3" t="s">
        <v>117</v>
      </c>
      <c r="H38" s="2" t="s">
        <v>120</v>
      </c>
      <c r="I38" s="3" t="s">
        <v>26</v>
      </c>
      <c r="J38" s="4">
        <v>31.95</v>
      </c>
      <c r="K38" s="5">
        <v>381</v>
      </c>
      <c r="L38" s="6">
        <v>5</v>
      </c>
      <c r="M38" s="1">
        <f t="shared" si="2"/>
        <v>386</v>
      </c>
      <c r="N38" s="6">
        <v>5</v>
      </c>
      <c r="O38" s="1">
        <f t="shared" si="3"/>
        <v>12332.7</v>
      </c>
      <c r="P38" s="1" t="s">
        <v>27</v>
      </c>
      <c r="Q38" s="8" t="s">
        <v>121</v>
      </c>
      <c r="R38" s="1" t="s">
        <v>35</v>
      </c>
    </row>
    <row r="39" ht="43.2" spans="1:18">
      <c r="A39" s="1" t="s">
        <v>18</v>
      </c>
      <c r="B39" s="7" t="s">
        <v>122</v>
      </c>
      <c r="C39" s="9" t="s">
        <v>119</v>
      </c>
      <c r="D39" s="2" t="s">
        <v>21</v>
      </c>
      <c r="E39" s="2" t="s">
        <v>116</v>
      </c>
      <c r="F39" s="3" t="s">
        <v>39</v>
      </c>
      <c r="G39" s="3" t="s">
        <v>117</v>
      </c>
      <c r="H39" s="2" t="s">
        <v>123</v>
      </c>
      <c r="I39" s="3" t="s">
        <v>26</v>
      </c>
      <c r="J39" s="4">
        <v>23.55</v>
      </c>
      <c r="K39" s="5">
        <v>382</v>
      </c>
      <c r="L39" s="6">
        <v>5</v>
      </c>
      <c r="M39" s="1">
        <f t="shared" si="2"/>
        <v>387</v>
      </c>
      <c r="N39" s="6">
        <v>5</v>
      </c>
      <c r="O39" s="1">
        <f t="shared" si="3"/>
        <v>9113.85</v>
      </c>
      <c r="P39" s="1" t="s">
        <v>27</v>
      </c>
      <c r="Q39" s="10" t="s">
        <v>112</v>
      </c>
      <c r="R39" s="1" t="s">
        <v>35</v>
      </c>
    </row>
    <row r="40" ht="32.4" spans="1:18">
      <c r="A40" s="1" t="s">
        <v>18</v>
      </c>
      <c r="B40" s="7"/>
      <c r="C40" s="7" t="s">
        <v>124</v>
      </c>
      <c r="D40" s="2" t="s">
        <v>21</v>
      </c>
      <c r="E40" s="2" t="s">
        <v>116</v>
      </c>
      <c r="F40" s="3" t="s">
        <v>39</v>
      </c>
      <c r="G40" s="3" t="s">
        <v>117</v>
      </c>
      <c r="H40" s="2" t="s">
        <v>125</v>
      </c>
      <c r="I40" s="3" t="s">
        <v>26</v>
      </c>
      <c r="J40" s="4">
        <v>20.75</v>
      </c>
      <c r="K40" s="5">
        <v>383</v>
      </c>
      <c r="L40" s="6">
        <v>5</v>
      </c>
      <c r="M40" s="1">
        <f t="shared" si="2"/>
        <v>388</v>
      </c>
      <c r="N40" s="6">
        <v>5</v>
      </c>
      <c r="O40" s="1">
        <f t="shared" si="3"/>
        <v>8051</v>
      </c>
      <c r="P40" s="1" t="s">
        <v>27</v>
      </c>
      <c r="Q40" s="8" t="s">
        <v>126</v>
      </c>
      <c r="R40" s="1" t="s">
        <v>35</v>
      </c>
    </row>
    <row r="41" ht="32.4" spans="1:18">
      <c r="A41" s="1" t="s">
        <v>18</v>
      </c>
      <c r="B41" s="7"/>
      <c r="C41" s="7" t="s">
        <v>124</v>
      </c>
      <c r="D41" s="2" t="s">
        <v>21</v>
      </c>
      <c r="E41" s="2" t="s">
        <v>116</v>
      </c>
      <c r="F41" s="3" t="s">
        <v>39</v>
      </c>
      <c r="G41" s="3" t="s">
        <v>117</v>
      </c>
      <c r="H41" s="2" t="s">
        <v>127</v>
      </c>
      <c r="I41" s="3" t="s">
        <v>26</v>
      </c>
      <c r="J41" s="4">
        <v>17.95</v>
      </c>
      <c r="K41" s="5">
        <v>384</v>
      </c>
      <c r="L41" s="6">
        <v>5</v>
      </c>
      <c r="M41" s="1">
        <f t="shared" si="2"/>
        <v>389</v>
      </c>
      <c r="N41" s="6">
        <v>5</v>
      </c>
      <c r="O41" s="1">
        <f t="shared" si="3"/>
        <v>6982.55</v>
      </c>
      <c r="P41" s="1" t="s">
        <v>27</v>
      </c>
      <c r="Q41" s="8" t="s">
        <v>126</v>
      </c>
      <c r="R41" s="1" t="s">
        <v>35</v>
      </c>
    </row>
    <row r="42" ht="24" spans="1:18">
      <c r="A42" s="1" t="s">
        <v>18</v>
      </c>
      <c r="B42" s="7"/>
      <c r="C42" s="9" t="s">
        <v>124</v>
      </c>
      <c r="D42" s="2" t="s">
        <v>21</v>
      </c>
      <c r="E42" s="2" t="s">
        <v>128</v>
      </c>
      <c r="F42" s="3" t="s">
        <v>23</v>
      </c>
      <c r="G42" s="3" t="s">
        <v>62</v>
      </c>
      <c r="H42" s="2" t="s">
        <v>63</v>
      </c>
      <c r="I42" s="3" t="s">
        <v>129</v>
      </c>
      <c r="J42" s="4">
        <v>27.1</v>
      </c>
      <c r="K42" s="5">
        <v>385</v>
      </c>
      <c r="L42" s="6">
        <v>5</v>
      </c>
      <c r="M42" s="1">
        <f t="shared" si="2"/>
        <v>390</v>
      </c>
      <c r="N42" s="6">
        <v>5</v>
      </c>
      <c r="O42" s="1">
        <f t="shared" si="3"/>
        <v>10569</v>
      </c>
      <c r="P42" s="1" t="s">
        <v>27</v>
      </c>
      <c r="Q42" s="8" t="s">
        <v>126</v>
      </c>
      <c r="R42" s="1" t="s">
        <v>35</v>
      </c>
    </row>
    <row r="43" spans="1:18">
      <c r="A43" s="1" t="s">
        <v>18</v>
      </c>
      <c r="B43" s="7" t="s">
        <v>70</v>
      </c>
      <c r="C43" s="7" t="s">
        <v>130</v>
      </c>
      <c r="D43" s="2" t="s">
        <v>21</v>
      </c>
      <c r="E43" s="2" t="s">
        <v>128</v>
      </c>
      <c r="F43" s="3" t="s">
        <v>23</v>
      </c>
      <c r="G43" s="3" t="s">
        <v>62</v>
      </c>
      <c r="H43" s="2" t="s">
        <v>67</v>
      </c>
      <c r="I43" s="3" t="s">
        <v>129</v>
      </c>
      <c r="J43" s="4">
        <v>27.1</v>
      </c>
      <c r="K43" s="5">
        <v>386</v>
      </c>
      <c r="L43" s="6">
        <v>5</v>
      </c>
      <c r="M43" s="1">
        <f t="shared" si="2"/>
        <v>391</v>
      </c>
      <c r="N43" s="6">
        <v>5</v>
      </c>
      <c r="O43" s="1">
        <f t="shared" si="3"/>
        <v>10596.1</v>
      </c>
      <c r="P43" s="1" t="s">
        <v>27</v>
      </c>
      <c r="Q43" s="8" t="s">
        <v>131</v>
      </c>
      <c r="R43" s="1" t="s">
        <v>35</v>
      </c>
    </row>
    <row r="44" spans="1:18">
      <c r="A44" s="1" t="s">
        <v>18</v>
      </c>
      <c r="B44" s="7" t="s">
        <v>60</v>
      </c>
      <c r="C44" s="7" t="s">
        <v>130</v>
      </c>
      <c r="D44" s="2" t="s">
        <v>21</v>
      </c>
      <c r="E44" s="2" t="s">
        <v>128</v>
      </c>
      <c r="F44" s="3" t="s">
        <v>23</v>
      </c>
      <c r="G44" s="3" t="s">
        <v>62</v>
      </c>
      <c r="H44" s="2" t="s">
        <v>69</v>
      </c>
      <c r="I44" s="3" t="s">
        <v>129</v>
      </c>
      <c r="J44" s="4">
        <v>27.1</v>
      </c>
      <c r="K44" s="5">
        <v>387</v>
      </c>
      <c r="L44" s="6">
        <v>5</v>
      </c>
      <c r="M44" s="1">
        <f t="shared" si="2"/>
        <v>392</v>
      </c>
      <c r="N44" s="6">
        <v>5</v>
      </c>
      <c r="O44" s="1">
        <f t="shared" si="3"/>
        <v>10623.2</v>
      </c>
      <c r="P44" s="1" t="s">
        <v>27</v>
      </c>
      <c r="Q44" s="8" t="s">
        <v>131</v>
      </c>
      <c r="R44" s="1" t="s">
        <v>35</v>
      </c>
    </row>
    <row r="45" ht="21.6" spans="1:18">
      <c r="A45" s="1" t="s">
        <v>18</v>
      </c>
      <c r="B45" s="7" t="s">
        <v>132</v>
      </c>
      <c r="C45" s="7" t="s">
        <v>130</v>
      </c>
      <c r="D45" s="2" t="s">
        <v>21</v>
      </c>
      <c r="E45" s="2" t="s">
        <v>128</v>
      </c>
      <c r="F45" s="3" t="s">
        <v>39</v>
      </c>
      <c r="G45" s="3" t="s">
        <v>62</v>
      </c>
      <c r="H45" s="2" t="s">
        <v>71</v>
      </c>
      <c r="I45" s="3" t="s">
        <v>129</v>
      </c>
      <c r="J45" s="4">
        <v>27.1</v>
      </c>
      <c r="K45" s="5">
        <v>388</v>
      </c>
      <c r="L45" s="6">
        <v>5</v>
      </c>
      <c r="M45" s="1">
        <f t="shared" si="2"/>
        <v>393</v>
      </c>
      <c r="N45" s="6">
        <v>5</v>
      </c>
      <c r="O45" s="1">
        <f t="shared" si="3"/>
        <v>10650.3</v>
      </c>
      <c r="P45" s="1" t="s">
        <v>27</v>
      </c>
      <c r="Q45" s="8" t="s">
        <v>131</v>
      </c>
      <c r="R45" s="1" t="s">
        <v>35</v>
      </c>
    </row>
    <row r="46" ht="21.6" spans="1:18">
      <c r="A46" s="1" t="s">
        <v>18</v>
      </c>
      <c r="B46" s="7" t="s">
        <v>133</v>
      </c>
      <c r="C46" s="7" t="s">
        <v>130</v>
      </c>
      <c r="D46" s="2" t="s">
        <v>21</v>
      </c>
      <c r="E46" s="2" t="s">
        <v>128</v>
      </c>
      <c r="F46" s="3" t="s">
        <v>39</v>
      </c>
      <c r="G46" s="3" t="s">
        <v>62</v>
      </c>
      <c r="H46" s="2" t="s">
        <v>72</v>
      </c>
      <c r="I46" s="3" t="s">
        <v>129</v>
      </c>
      <c r="J46" s="4">
        <v>27.1</v>
      </c>
      <c r="K46" s="5">
        <v>389</v>
      </c>
      <c r="L46" s="6">
        <v>5</v>
      </c>
      <c r="M46" s="1">
        <f t="shared" si="2"/>
        <v>394</v>
      </c>
      <c r="N46" s="6">
        <v>5</v>
      </c>
      <c r="O46" s="1">
        <f t="shared" si="3"/>
        <v>10677.4</v>
      </c>
      <c r="P46" s="1" t="s">
        <v>27</v>
      </c>
      <c r="Q46" s="8" t="s">
        <v>131</v>
      </c>
      <c r="R46" s="1" t="s">
        <v>35</v>
      </c>
    </row>
    <row r="47" ht="24" spans="1:18">
      <c r="A47" s="1" t="s">
        <v>18</v>
      </c>
      <c r="B47" s="7"/>
      <c r="C47" s="7" t="s">
        <v>134</v>
      </c>
      <c r="D47" s="2" t="s">
        <v>21</v>
      </c>
      <c r="E47" s="2" t="s">
        <v>128</v>
      </c>
      <c r="F47" s="3" t="s">
        <v>39</v>
      </c>
      <c r="G47" s="3" t="s">
        <v>62</v>
      </c>
      <c r="H47" s="2" t="s">
        <v>74</v>
      </c>
      <c r="I47" s="3" t="s">
        <v>129</v>
      </c>
      <c r="J47" s="4">
        <v>27.1</v>
      </c>
      <c r="K47" s="5">
        <v>390</v>
      </c>
      <c r="L47" s="6">
        <v>5</v>
      </c>
      <c r="M47" s="1">
        <f t="shared" si="2"/>
        <v>395</v>
      </c>
      <c r="N47" s="6">
        <v>5</v>
      </c>
      <c r="O47" s="1">
        <f t="shared" si="3"/>
        <v>10704.5</v>
      </c>
      <c r="P47" s="1" t="s">
        <v>27</v>
      </c>
      <c r="Q47" s="8" t="s">
        <v>135</v>
      </c>
      <c r="R47" s="1" t="s">
        <v>35</v>
      </c>
    </row>
    <row r="48" ht="24" spans="1:18">
      <c r="A48" s="1" t="s">
        <v>18</v>
      </c>
      <c r="B48" s="7" t="s">
        <v>60</v>
      </c>
      <c r="C48" s="7" t="s">
        <v>134</v>
      </c>
      <c r="D48" s="2" t="s">
        <v>21</v>
      </c>
      <c r="E48" s="2" t="s">
        <v>128</v>
      </c>
      <c r="F48" s="3" t="s">
        <v>39</v>
      </c>
      <c r="G48" s="3" t="s">
        <v>62</v>
      </c>
      <c r="H48" s="2" t="s">
        <v>76</v>
      </c>
      <c r="I48" s="3" t="s">
        <v>129</v>
      </c>
      <c r="J48" s="4">
        <v>27.1</v>
      </c>
      <c r="K48" s="5">
        <v>391</v>
      </c>
      <c r="L48" s="6">
        <v>5</v>
      </c>
      <c r="M48" s="1">
        <f t="shared" si="2"/>
        <v>396</v>
      </c>
      <c r="N48" s="6">
        <v>5</v>
      </c>
      <c r="O48" s="1">
        <f t="shared" si="3"/>
        <v>10731.6</v>
      </c>
      <c r="P48" s="1" t="s">
        <v>27</v>
      </c>
      <c r="Q48" s="8" t="s">
        <v>135</v>
      </c>
      <c r="R48" s="1" t="s">
        <v>35</v>
      </c>
    </row>
    <row r="49" spans="1:18">
      <c r="A49" s="1" t="s">
        <v>18</v>
      </c>
      <c r="B49" s="9" t="s">
        <v>136</v>
      </c>
      <c r="C49" s="9" t="s">
        <v>137</v>
      </c>
      <c r="D49" s="2" t="s">
        <v>138</v>
      </c>
      <c r="E49" s="2" t="s">
        <v>139</v>
      </c>
      <c r="F49" s="3" t="s">
        <v>23</v>
      </c>
      <c r="G49" s="3" t="s">
        <v>77</v>
      </c>
      <c r="H49" s="2" t="s">
        <v>67</v>
      </c>
      <c r="I49" s="3" t="s">
        <v>26</v>
      </c>
      <c r="J49" s="4">
        <v>29.85</v>
      </c>
      <c r="K49" s="5">
        <v>392</v>
      </c>
      <c r="L49" s="6">
        <v>5</v>
      </c>
      <c r="M49" s="1">
        <f t="shared" si="2"/>
        <v>397</v>
      </c>
      <c r="N49" s="6">
        <v>5</v>
      </c>
      <c r="O49" s="1">
        <f t="shared" si="3"/>
        <v>11850.45</v>
      </c>
      <c r="P49" s="1" t="s">
        <v>27</v>
      </c>
      <c r="Q49" s="10" t="s">
        <v>140</v>
      </c>
      <c r="R49" s="1" t="s">
        <v>35</v>
      </c>
    </row>
    <row r="50" spans="1:18">
      <c r="A50" s="1" t="s">
        <v>18</v>
      </c>
      <c r="B50" s="9" t="s">
        <v>73</v>
      </c>
      <c r="C50" s="7" t="s">
        <v>141</v>
      </c>
      <c r="D50" s="2" t="s">
        <v>138</v>
      </c>
      <c r="E50" s="2" t="s">
        <v>139</v>
      </c>
      <c r="F50" s="3" t="s">
        <v>23</v>
      </c>
      <c r="G50" s="3" t="s">
        <v>77</v>
      </c>
      <c r="H50" s="2" t="s">
        <v>69</v>
      </c>
      <c r="I50" s="3" t="s">
        <v>26</v>
      </c>
      <c r="J50" s="4">
        <v>38.25</v>
      </c>
      <c r="K50" s="5">
        <v>393</v>
      </c>
      <c r="L50" s="6">
        <v>5</v>
      </c>
      <c r="M50" s="1">
        <f t="shared" si="2"/>
        <v>398</v>
      </c>
      <c r="N50" s="6">
        <v>5</v>
      </c>
      <c r="O50" s="1">
        <f t="shared" si="3"/>
        <v>15223.5</v>
      </c>
      <c r="P50" s="1" t="s">
        <v>27</v>
      </c>
      <c r="Q50" s="8" t="s">
        <v>142</v>
      </c>
      <c r="R50" s="1" t="s">
        <v>35</v>
      </c>
    </row>
    <row r="51" spans="1:18">
      <c r="A51" s="1" t="s">
        <v>18</v>
      </c>
      <c r="B51" s="9" t="s">
        <v>143</v>
      </c>
      <c r="C51" s="9" t="s">
        <v>141</v>
      </c>
      <c r="D51" s="2" t="s">
        <v>138</v>
      </c>
      <c r="E51" s="2" t="s">
        <v>139</v>
      </c>
      <c r="F51" s="3" t="s">
        <v>23</v>
      </c>
      <c r="G51" s="3" t="s">
        <v>53</v>
      </c>
      <c r="H51" s="2" t="s">
        <v>67</v>
      </c>
      <c r="I51" s="3" t="s">
        <v>144</v>
      </c>
      <c r="J51" s="4">
        <v>43.45</v>
      </c>
      <c r="K51" s="5">
        <v>394</v>
      </c>
      <c r="L51" s="6">
        <v>5</v>
      </c>
      <c r="M51" s="1">
        <f t="shared" si="2"/>
        <v>399</v>
      </c>
      <c r="N51" s="6">
        <v>5</v>
      </c>
      <c r="O51" s="1">
        <f t="shared" si="3"/>
        <v>17336.55</v>
      </c>
      <c r="P51" s="1" t="s">
        <v>27</v>
      </c>
      <c r="Q51" s="9"/>
      <c r="R51" s="1" t="s">
        <v>35</v>
      </c>
    </row>
    <row r="52" spans="1:18">
      <c r="A52" s="1" t="s">
        <v>18</v>
      </c>
      <c r="B52" s="7" t="s">
        <v>86</v>
      </c>
      <c r="C52" s="9" t="s">
        <v>145</v>
      </c>
      <c r="D52" s="2" t="s">
        <v>138</v>
      </c>
      <c r="E52" s="2" t="s">
        <v>139</v>
      </c>
      <c r="F52" s="3" t="s">
        <v>23</v>
      </c>
      <c r="G52" s="3" t="s">
        <v>53</v>
      </c>
      <c r="H52" s="2" t="s">
        <v>63</v>
      </c>
      <c r="I52" s="3" t="s">
        <v>144</v>
      </c>
      <c r="J52" s="4">
        <v>45.95</v>
      </c>
      <c r="K52" s="5">
        <v>395</v>
      </c>
      <c r="L52" s="6">
        <v>5</v>
      </c>
      <c r="M52" s="1">
        <f t="shared" si="2"/>
        <v>400</v>
      </c>
      <c r="N52" s="6">
        <v>5</v>
      </c>
      <c r="O52" s="1">
        <f t="shared" si="3"/>
        <v>18380</v>
      </c>
      <c r="P52" s="1" t="s">
        <v>27</v>
      </c>
      <c r="Q52" s="10" t="s">
        <v>146</v>
      </c>
      <c r="R52" s="1" t="s">
        <v>35</v>
      </c>
    </row>
    <row r="53" ht="24" spans="1:18">
      <c r="A53" s="1" t="s">
        <v>18</v>
      </c>
      <c r="B53" s="7" t="s">
        <v>136</v>
      </c>
      <c r="C53" s="9" t="s">
        <v>147</v>
      </c>
      <c r="D53" s="2" t="s">
        <v>138</v>
      </c>
      <c r="E53" s="2" t="s">
        <v>139</v>
      </c>
      <c r="F53" s="3" t="s">
        <v>23</v>
      </c>
      <c r="G53" s="3" t="s">
        <v>77</v>
      </c>
      <c r="H53" s="2" t="s">
        <v>63</v>
      </c>
      <c r="I53" s="3" t="s">
        <v>148</v>
      </c>
      <c r="J53" s="4">
        <v>37.55</v>
      </c>
      <c r="K53" s="5">
        <v>396</v>
      </c>
      <c r="L53" s="6">
        <v>5</v>
      </c>
      <c r="M53" s="1">
        <f t="shared" si="2"/>
        <v>401</v>
      </c>
      <c r="N53" s="6">
        <v>5</v>
      </c>
      <c r="O53" s="1">
        <f t="shared" si="3"/>
        <v>15057.55</v>
      </c>
      <c r="P53" s="1" t="s">
        <v>27</v>
      </c>
      <c r="Q53" s="10" t="s">
        <v>149</v>
      </c>
      <c r="R53" s="1" t="s">
        <v>35</v>
      </c>
    </row>
    <row r="54" spans="1:18">
      <c r="A54" s="1" t="s">
        <v>18</v>
      </c>
      <c r="B54" s="7"/>
      <c r="C54" s="7" t="s">
        <v>150</v>
      </c>
      <c r="D54" s="2" t="s">
        <v>138</v>
      </c>
      <c r="E54" s="2" t="s">
        <v>139</v>
      </c>
      <c r="F54" s="3" t="s">
        <v>23</v>
      </c>
      <c r="G54" s="3" t="s">
        <v>77</v>
      </c>
      <c r="H54" s="2" t="s">
        <v>67</v>
      </c>
      <c r="I54" s="3" t="s">
        <v>148</v>
      </c>
      <c r="J54" s="4">
        <v>29.85</v>
      </c>
      <c r="K54" s="5">
        <v>397</v>
      </c>
      <c r="L54" s="6">
        <v>5</v>
      </c>
      <c r="M54" s="1">
        <f t="shared" si="2"/>
        <v>402</v>
      </c>
      <c r="N54" s="6">
        <v>5</v>
      </c>
      <c r="O54" s="1">
        <f t="shared" si="3"/>
        <v>11999.7</v>
      </c>
      <c r="P54" s="1" t="s">
        <v>27</v>
      </c>
      <c r="Q54" s="8" t="s">
        <v>151</v>
      </c>
      <c r="R54" s="1" t="s">
        <v>35</v>
      </c>
    </row>
    <row r="55" spans="1:18">
      <c r="A55" s="1" t="s">
        <v>18</v>
      </c>
      <c r="B55" s="9" t="s">
        <v>70</v>
      </c>
      <c r="C55" s="7" t="s">
        <v>150</v>
      </c>
      <c r="D55" s="2" t="s">
        <v>138</v>
      </c>
      <c r="E55" s="2" t="s">
        <v>139</v>
      </c>
      <c r="F55" s="3" t="s">
        <v>23</v>
      </c>
      <c r="G55" s="3" t="s">
        <v>77</v>
      </c>
      <c r="H55" s="2" t="s">
        <v>69</v>
      </c>
      <c r="I55" s="3" t="s">
        <v>148</v>
      </c>
      <c r="J55" s="4">
        <v>38.25</v>
      </c>
      <c r="K55" s="5">
        <v>398</v>
      </c>
      <c r="L55" s="6">
        <v>5</v>
      </c>
      <c r="M55" s="1">
        <f t="shared" si="2"/>
        <v>403</v>
      </c>
      <c r="N55" s="6">
        <v>5</v>
      </c>
      <c r="O55" s="1">
        <f t="shared" si="3"/>
        <v>15414.75</v>
      </c>
      <c r="P55" s="1" t="s">
        <v>27</v>
      </c>
      <c r="Q55" s="7"/>
      <c r="R55" s="1" t="s">
        <v>35</v>
      </c>
    </row>
    <row r="56" ht="21.6" spans="1:18">
      <c r="A56" s="1" t="s">
        <v>18</v>
      </c>
      <c r="B56" s="9" t="s">
        <v>152</v>
      </c>
      <c r="C56" s="9" t="s">
        <v>153</v>
      </c>
      <c r="D56" s="2" t="s">
        <v>154</v>
      </c>
      <c r="E56" s="2" t="s">
        <v>155</v>
      </c>
      <c r="F56" s="3" t="s">
        <v>156</v>
      </c>
      <c r="G56" s="3" t="s">
        <v>53</v>
      </c>
      <c r="H56" s="2" t="s">
        <v>157</v>
      </c>
      <c r="I56" s="3" t="s">
        <v>158</v>
      </c>
      <c r="J56" s="4">
        <v>38.65</v>
      </c>
      <c r="K56" s="5">
        <v>399</v>
      </c>
      <c r="L56" s="6">
        <v>5</v>
      </c>
      <c r="M56" s="1">
        <f t="shared" si="2"/>
        <v>404</v>
      </c>
      <c r="N56" s="6">
        <v>5</v>
      </c>
      <c r="O56" s="1">
        <f t="shared" si="3"/>
        <v>15614.6</v>
      </c>
      <c r="P56" s="1" t="s">
        <v>27</v>
      </c>
      <c r="Q56" s="10" t="s">
        <v>159</v>
      </c>
      <c r="R56" s="1" t="s">
        <v>35</v>
      </c>
    </row>
    <row r="57" ht="21.6" spans="1:18">
      <c r="A57" s="1" t="s">
        <v>18</v>
      </c>
      <c r="B57" s="7" t="s">
        <v>68</v>
      </c>
      <c r="C57" s="7" t="s">
        <v>137</v>
      </c>
      <c r="D57" s="2" t="s">
        <v>154</v>
      </c>
      <c r="E57" s="2" t="s">
        <v>155</v>
      </c>
      <c r="F57" s="3" t="s">
        <v>156</v>
      </c>
      <c r="G57" s="3" t="s">
        <v>53</v>
      </c>
      <c r="H57" s="2" t="s">
        <v>160</v>
      </c>
      <c r="I57" s="3" t="s">
        <v>158</v>
      </c>
      <c r="J57" s="4">
        <v>66.65</v>
      </c>
      <c r="K57" s="5">
        <v>400</v>
      </c>
      <c r="L57" s="6">
        <v>5</v>
      </c>
      <c r="M57" s="1">
        <f t="shared" si="2"/>
        <v>405</v>
      </c>
      <c r="N57" s="6">
        <v>5</v>
      </c>
      <c r="O57" s="1">
        <f t="shared" si="3"/>
        <v>26993.25</v>
      </c>
      <c r="P57" s="1" t="s">
        <v>27</v>
      </c>
      <c r="Q57" s="8" t="s">
        <v>161</v>
      </c>
      <c r="R57" s="1" t="s">
        <v>35</v>
      </c>
    </row>
    <row r="58" ht="21.6" spans="1:18">
      <c r="A58" s="1" t="s">
        <v>18</v>
      </c>
      <c r="B58" s="9"/>
      <c r="C58" s="9" t="s">
        <v>162</v>
      </c>
      <c r="D58" s="2" t="s">
        <v>154</v>
      </c>
      <c r="E58" s="2" t="s">
        <v>155</v>
      </c>
      <c r="F58" s="3" t="s">
        <v>156</v>
      </c>
      <c r="G58" s="3" t="s">
        <v>77</v>
      </c>
      <c r="H58" s="2" t="s">
        <v>157</v>
      </c>
      <c r="I58" s="3" t="s">
        <v>158</v>
      </c>
      <c r="J58" s="4">
        <v>33.35</v>
      </c>
      <c r="K58" s="5">
        <v>401</v>
      </c>
      <c r="L58" s="6">
        <v>5</v>
      </c>
      <c r="M58" s="1">
        <f t="shared" si="2"/>
        <v>406</v>
      </c>
      <c r="N58" s="6">
        <v>5</v>
      </c>
      <c r="O58" s="1">
        <f t="shared" si="3"/>
        <v>13540.1</v>
      </c>
      <c r="P58" s="1" t="s">
        <v>27</v>
      </c>
      <c r="Q58" s="10" t="s">
        <v>163</v>
      </c>
      <c r="R58" s="1" t="s">
        <v>35</v>
      </c>
    </row>
    <row r="59" ht="21.6" spans="1:18">
      <c r="A59" s="1" t="s">
        <v>18</v>
      </c>
      <c r="B59" s="7" t="s">
        <v>73</v>
      </c>
      <c r="C59" s="7" t="s">
        <v>162</v>
      </c>
      <c r="D59" s="2" t="s">
        <v>154</v>
      </c>
      <c r="E59" s="2" t="s">
        <v>155</v>
      </c>
      <c r="F59" s="3" t="s">
        <v>156</v>
      </c>
      <c r="G59" s="3" t="s">
        <v>77</v>
      </c>
      <c r="H59" s="2" t="s">
        <v>160</v>
      </c>
      <c r="I59" s="3" t="s">
        <v>164</v>
      </c>
      <c r="J59" s="4">
        <v>70.05</v>
      </c>
      <c r="K59" s="5">
        <v>402</v>
      </c>
      <c r="L59" s="6">
        <v>5</v>
      </c>
      <c r="M59" s="1">
        <f t="shared" si="2"/>
        <v>407</v>
      </c>
      <c r="N59" s="6">
        <v>5</v>
      </c>
      <c r="O59" s="1">
        <f t="shared" si="3"/>
        <v>28510.35</v>
      </c>
      <c r="P59" s="1" t="s">
        <v>27</v>
      </c>
      <c r="Q59" s="8" t="s">
        <v>165</v>
      </c>
      <c r="R59" s="1" t="s">
        <v>35</v>
      </c>
    </row>
    <row r="60" ht="21.6" spans="1:18">
      <c r="A60" s="1" t="s">
        <v>18</v>
      </c>
      <c r="B60" s="9"/>
      <c r="C60" s="7" t="s">
        <v>113</v>
      </c>
      <c r="D60" s="2" t="s">
        <v>154</v>
      </c>
      <c r="E60" s="2" t="s">
        <v>155</v>
      </c>
      <c r="F60" s="3" t="s">
        <v>156</v>
      </c>
      <c r="G60" s="3" t="s">
        <v>166</v>
      </c>
      <c r="H60" s="2" t="s">
        <v>157</v>
      </c>
      <c r="I60" s="3" t="s">
        <v>158</v>
      </c>
      <c r="J60" s="4">
        <v>33.45</v>
      </c>
      <c r="K60" s="5">
        <v>403</v>
      </c>
      <c r="L60" s="6">
        <v>5</v>
      </c>
      <c r="M60" s="1">
        <f t="shared" si="2"/>
        <v>408</v>
      </c>
      <c r="N60" s="6">
        <v>5</v>
      </c>
      <c r="O60" s="1">
        <f t="shared" si="3"/>
        <v>13647.6</v>
      </c>
      <c r="P60" s="1" t="s">
        <v>27</v>
      </c>
      <c r="Q60" s="8" t="s">
        <v>167</v>
      </c>
      <c r="R60" s="1" t="s">
        <v>35</v>
      </c>
    </row>
    <row r="61" ht="21.6" spans="1:18">
      <c r="A61" s="1" t="s">
        <v>18</v>
      </c>
      <c r="B61" s="7" t="s">
        <v>168</v>
      </c>
      <c r="C61" s="7" t="s">
        <v>113</v>
      </c>
      <c r="D61" s="2" t="s">
        <v>154</v>
      </c>
      <c r="E61" s="2" t="s">
        <v>155</v>
      </c>
      <c r="F61" s="3" t="s">
        <v>156</v>
      </c>
      <c r="G61" s="3" t="s">
        <v>166</v>
      </c>
      <c r="H61" s="2" t="s">
        <v>160</v>
      </c>
      <c r="I61" s="3" t="s">
        <v>164</v>
      </c>
      <c r="J61" s="4">
        <v>70.5</v>
      </c>
      <c r="K61" s="5">
        <v>404</v>
      </c>
      <c r="L61" s="6">
        <v>5</v>
      </c>
      <c r="M61" s="1">
        <f t="shared" si="2"/>
        <v>409</v>
      </c>
      <c r="N61" s="6">
        <v>5</v>
      </c>
      <c r="O61" s="1">
        <f t="shared" si="3"/>
        <v>28834.5</v>
      </c>
      <c r="P61" s="1" t="s">
        <v>27</v>
      </c>
      <c r="Q61" s="8" t="s">
        <v>167</v>
      </c>
      <c r="R61" s="1" t="s">
        <v>35</v>
      </c>
    </row>
    <row r="62" ht="21.6" spans="1:18">
      <c r="A62" s="1" t="s">
        <v>18</v>
      </c>
      <c r="B62" s="7"/>
      <c r="C62" s="9" t="s">
        <v>113</v>
      </c>
      <c r="D62" s="2" t="s">
        <v>154</v>
      </c>
      <c r="E62" s="2" t="s">
        <v>155</v>
      </c>
      <c r="F62" s="3" t="s">
        <v>156</v>
      </c>
      <c r="G62" s="3" t="s">
        <v>117</v>
      </c>
      <c r="H62" s="2" t="s">
        <v>157</v>
      </c>
      <c r="I62" s="3" t="s">
        <v>158</v>
      </c>
      <c r="J62" s="4">
        <v>36.9</v>
      </c>
      <c r="K62" s="5">
        <v>405</v>
      </c>
      <c r="L62" s="6">
        <v>5</v>
      </c>
      <c r="M62" s="1">
        <f t="shared" si="2"/>
        <v>410</v>
      </c>
      <c r="N62" s="6">
        <v>5</v>
      </c>
      <c r="O62" s="1">
        <f t="shared" si="3"/>
        <v>15129</v>
      </c>
      <c r="P62" s="1" t="s">
        <v>27</v>
      </c>
      <c r="Q62" s="8" t="s">
        <v>167</v>
      </c>
      <c r="R62" s="1" t="s">
        <v>35</v>
      </c>
    </row>
    <row r="63" ht="24" spans="1:18">
      <c r="A63" s="1" t="s">
        <v>18</v>
      </c>
      <c r="B63" s="9"/>
      <c r="C63" s="7" t="s">
        <v>169</v>
      </c>
      <c r="D63" s="2" t="s">
        <v>154</v>
      </c>
      <c r="E63" s="2" t="s">
        <v>155</v>
      </c>
      <c r="F63" s="3" t="s">
        <v>156</v>
      </c>
      <c r="G63" s="3" t="s">
        <v>117</v>
      </c>
      <c r="H63" s="2" t="s">
        <v>160</v>
      </c>
      <c r="I63" s="3" t="s">
        <v>164</v>
      </c>
      <c r="J63" s="4">
        <v>59.65</v>
      </c>
      <c r="K63" s="5">
        <v>406</v>
      </c>
      <c r="L63" s="6">
        <v>5</v>
      </c>
      <c r="M63" s="1">
        <f t="shared" si="2"/>
        <v>411</v>
      </c>
      <c r="N63" s="6">
        <v>5</v>
      </c>
      <c r="O63" s="1">
        <f t="shared" si="3"/>
        <v>24516.15</v>
      </c>
      <c r="P63" s="1" t="s">
        <v>27</v>
      </c>
      <c r="Q63" s="8" t="s">
        <v>170</v>
      </c>
      <c r="R63" s="1" t="s">
        <v>35</v>
      </c>
    </row>
    <row r="64" ht="24" spans="1:18">
      <c r="A64" s="1" t="s">
        <v>18</v>
      </c>
      <c r="B64" s="7" t="s">
        <v>171</v>
      </c>
      <c r="C64" s="7" t="s">
        <v>172</v>
      </c>
      <c r="D64" s="2" t="s">
        <v>154</v>
      </c>
      <c r="E64" s="2" t="s">
        <v>155</v>
      </c>
      <c r="F64" s="3" t="s">
        <v>156</v>
      </c>
      <c r="G64" s="3" t="s">
        <v>24</v>
      </c>
      <c r="H64" s="2" t="s">
        <v>157</v>
      </c>
      <c r="I64" s="3" t="s">
        <v>158</v>
      </c>
      <c r="J64" s="4">
        <v>41</v>
      </c>
      <c r="K64" s="5">
        <v>407</v>
      </c>
      <c r="L64" s="6">
        <v>5</v>
      </c>
      <c r="M64" s="1">
        <f t="shared" si="2"/>
        <v>412</v>
      </c>
      <c r="N64" s="6">
        <v>5</v>
      </c>
      <c r="O64" s="1">
        <f t="shared" si="3"/>
        <v>16892</v>
      </c>
      <c r="P64" s="1" t="s">
        <v>27</v>
      </c>
      <c r="Q64" s="8" t="s">
        <v>173</v>
      </c>
      <c r="R64" s="1" t="s">
        <v>35</v>
      </c>
    </row>
    <row r="65" ht="24" spans="1:18">
      <c r="A65" s="1" t="s">
        <v>18</v>
      </c>
      <c r="B65" s="7"/>
      <c r="C65" s="7" t="s">
        <v>174</v>
      </c>
      <c r="D65" s="2" t="s">
        <v>154</v>
      </c>
      <c r="E65" s="2" t="s">
        <v>155</v>
      </c>
      <c r="F65" s="3" t="s">
        <v>156</v>
      </c>
      <c r="G65" s="3" t="s">
        <v>24</v>
      </c>
      <c r="H65" s="2" t="s">
        <v>160</v>
      </c>
      <c r="I65" s="3" t="s">
        <v>164</v>
      </c>
      <c r="J65" s="4">
        <v>73.05</v>
      </c>
      <c r="K65" s="5">
        <v>408</v>
      </c>
      <c r="L65" s="6">
        <v>5</v>
      </c>
      <c r="M65" s="1">
        <f t="shared" si="2"/>
        <v>413</v>
      </c>
      <c r="N65" s="6">
        <v>5</v>
      </c>
      <c r="O65" s="1">
        <f t="shared" si="3"/>
        <v>30169.65</v>
      </c>
      <c r="P65" s="1" t="s">
        <v>27</v>
      </c>
      <c r="Q65" s="8" t="s">
        <v>175</v>
      </c>
      <c r="R65" s="1" t="s">
        <v>35</v>
      </c>
    </row>
    <row r="66" ht="21.6" spans="1:18">
      <c r="A66" s="1" t="s">
        <v>18</v>
      </c>
      <c r="B66" s="7"/>
      <c r="C66" s="9" t="s">
        <v>176</v>
      </c>
      <c r="D66" s="2" t="s">
        <v>154</v>
      </c>
      <c r="E66" s="2" t="s">
        <v>155</v>
      </c>
      <c r="F66" s="3" t="s">
        <v>156</v>
      </c>
      <c r="G66" s="3" t="s">
        <v>62</v>
      </c>
      <c r="H66" s="2" t="s">
        <v>157</v>
      </c>
      <c r="I66" s="3" t="s">
        <v>158</v>
      </c>
      <c r="J66" s="4">
        <v>43</v>
      </c>
      <c r="K66" s="5">
        <v>409</v>
      </c>
      <c r="L66" s="6">
        <v>5</v>
      </c>
      <c r="M66" s="1">
        <f t="shared" si="2"/>
        <v>414</v>
      </c>
      <c r="N66" s="6">
        <v>5</v>
      </c>
      <c r="O66" s="1">
        <f t="shared" si="3"/>
        <v>17802</v>
      </c>
      <c r="P66" s="1" t="s">
        <v>27</v>
      </c>
      <c r="Q66" s="10" t="s">
        <v>177</v>
      </c>
      <c r="R66" s="1" t="s">
        <v>35</v>
      </c>
    </row>
    <row r="67" ht="21.6" spans="1:18">
      <c r="A67" s="1" t="s">
        <v>18</v>
      </c>
      <c r="B67" s="7"/>
      <c r="C67" s="9" t="s">
        <v>61</v>
      </c>
      <c r="D67" s="2" t="s">
        <v>154</v>
      </c>
      <c r="E67" s="2" t="s">
        <v>155</v>
      </c>
      <c r="F67" s="3" t="s">
        <v>156</v>
      </c>
      <c r="G67" s="3" t="s">
        <v>62</v>
      </c>
      <c r="H67" s="2" t="s">
        <v>160</v>
      </c>
      <c r="I67" s="3" t="s">
        <v>164</v>
      </c>
      <c r="J67" s="4">
        <v>73.05</v>
      </c>
      <c r="K67" s="5">
        <v>410</v>
      </c>
      <c r="L67" s="6">
        <v>5</v>
      </c>
      <c r="M67" s="1">
        <f>L67+K67</f>
        <v>415</v>
      </c>
      <c r="N67" s="6">
        <v>5</v>
      </c>
      <c r="O67" s="1">
        <f>M67*J67</f>
        <v>30315.75</v>
      </c>
      <c r="P67" s="1" t="s">
        <v>27</v>
      </c>
      <c r="Q67" s="10" t="s">
        <v>178</v>
      </c>
      <c r="R67" s="1" t="s">
        <v>35</v>
      </c>
    </row>
    <row r="68" ht="21.6" spans="1:18">
      <c r="A68" s="1" t="s">
        <v>18</v>
      </c>
      <c r="B68" s="7" t="s">
        <v>179</v>
      </c>
      <c r="C68" s="7" t="s">
        <v>180</v>
      </c>
      <c r="D68" s="2" t="s">
        <v>181</v>
      </c>
      <c r="E68" s="2" t="s">
        <v>182</v>
      </c>
      <c r="F68" s="3" t="s">
        <v>23</v>
      </c>
      <c r="G68" s="3" t="s">
        <v>166</v>
      </c>
      <c r="H68" s="2" t="s">
        <v>183</v>
      </c>
      <c r="I68" s="3">
        <v>26</v>
      </c>
      <c r="J68" s="4">
        <v>16.9</v>
      </c>
      <c r="K68" s="5">
        <v>411</v>
      </c>
      <c r="L68" s="6">
        <v>5</v>
      </c>
      <c r="M68" s="1">
        <f>L68+K68</f>
        <v>416</v>
      </c>
      <c r="N68" s="6">
        <v>5</v>
      </c>
      <c r="O68" s="1">
        <f>M68*J68</f>
        <v>7030.4</v>
      </c>
      <c r="P68" s="1" t="s">
        <v>27</v>
      </c>
      <c r="Q68" s="8" t="s">
        <v>184</v>
      </c>
      <c r="R68" s="1" t="s">
        <v>35</v>
      </c>
    </row>
    <row r="69" ht="21.6" spans="1:18">
      <c r="A69" s="1" t="s">
        <v>18</v>
      </c>
      <c r="B69" s="7"/>
      <c r="C69" s="7" t="s">
        <v>185</v>
      </c>
      <c r="D69" s="2" t="s">
        <v>181</v>
      </c>
      <c r="E69" s="2" t="s">
        <v>182</v>
      </c>
      <c r="F69" s="3" t="s">
        <v>23</v>
      </c>
      <c r="G69" s="3" t="s">
        <v>117</v>
      </c>
      <c r="H69" s="2" t="s">
        <v>186</v>
      </c>
      <c r="I69" s="3">
        <v>26</v>
      </c>
      <c r="J69" s="4">
        <v>19.45</v>
      </c>
      <c r="K69" s="5">
        <v>412</v>
      </c>
      <c r="L69" s="6">
        <v>5</v>
      </c>
      <c r="M69" s="1">
        <f>L69+K69</f>
        <v>417</v>
      </c>
      <c r="N69" s="6">
        <v>5</v>
      </c>
      <c r="O69" s="1">
        <f>M69*J69</f>
        <v>8110.65</v>
      </c>
      <c r="P69" s="1" t="s">
        <v>27</v>
      </c>
      <c r="Q69" s="8" t="s">
        <v>184</v>
      </c>
      <c r="R69" s="1" t="s">
        <v>35</v>
      </c>
    </row>
    <row r="70" ht="21.6" spans="1:18">
      <c r="A70" s="1" t="s">
        <v>18</v>
      </c>
      <c r="B70" s="9" t="s">
        <v>187</v>
      </c>
      <c r="C70" s="9" t="s">
        <v>162</v>
      </c>
      <c r="D70" s="2" t="s">
        <v>181</v>
      </c>
      <c r="E70" s="2" t="s">
        <v>182</v>
      </c>
      <c r="F70" s="3" t="s">
        <v>23</v>
      </c>
      <c r="G70" s="3" t="s">
        <v>188</v>
      </c>
      <c r="H70" s="2" t="s">
        <v>189</v>
      </c>
      <c r="I70" s="3">
        <v>26</v>
      </c>
      <c r="J70" s="4">
        <v>16.35</v>
      </c>
      <c r="K70" s="5">
        <v>413</v>
      </c>
      <c r="L70" s="6">
        <v>5</v>
      </c>
      <c r="M70" s="1">
        <f>L70+K70</f>
        <v>418</v>
      </c>
      <c r="N70" s="6">
        <v>5</v>
      </c>
      <c r="O70" s="1">
        <f>M70*J70</f>
        <v>6834.3</v>
      </c>
      <c r="P70" s="1" t="s">
        <v>27</v>
      </c>
      <c r="Q70" s="10" t="s">
        <v>190</v>
      </c>
      <c r="R70" s="1" t="s">
        <v>35</v>
      </c>
    </row>
    <row r="71" ht="24" spans="1:18">
      <c r="A71" s="1" t="s">
        <v>18</v>
      </c>
      <c r="B71" s="7" t="s">
        <v>73</v>
      </c>
      <c r="C71" s="7" t="s">
        <v>191</v>
      </c>
      <c r="D71" s="2" t="s">
        <v>181</v>
      </c>
      <c r="E71" s="2" t="s">
        <v>182</v>
      </c>
      <c r="F71" s="3" t="s">
        <v>39</v>
      </c>
      <c r="G71" s="3" t="s">
        <v>77</v>
      </c>
      <c r="H71" s="2" t="s">
        <v>192</v>
      </c>
      <c r="I71" s="3">
        <v>25</v>
      </c>
      <c r="J71" s="4">
        <v>18.55</v>
      </c>
      <c r="K71" s="5">
        <v>414</v>
      </c>
      <c r="L71" s="6">
        <v>5</v>
      </c>
      <c r="M71" s="1">
        <f>L71+K71</f>
        <v>419</v>
      </c>
      <c r="N71" s="6">
        <v>5</v>
      </c>
      <c r="O71" s="1">
        <f>M71*J71</f>
        <v>7772.45</v>
      </c>
      <c r="P71" s="1" t="s">
        <v>27</v>
      </c>
      <c r="Q71" s="10" t="s">
        <v>135</v>
      </c>
      <c r="R71" s="1" t="s">
        <v>35</v>
      </c>
    </row>
    <row r="72" ht="21.6" spans="1:18">
      <c r="A72" s="1" t="s">
        <v>18</v>
      </c>
      <c r="B72" s="9"/>
      <c r="C72" s="7" t="s">
        <v>61</v>
      </c>
      <c r="D72" s="2" t="s">
        <v>193</v>
      </c>
      <c r="E72" s="2" t="s">
        <v>194</v>
      </c>
      <c r="F72" s="3" t="s">
        <v>23</v>
      </c>
      <c r="G72" s="3" t="s">
        <v>77</v>
      </c>
      <c r="H72" s="2" t="s">
        <v>195</v>
      </c>
      <c r="I72" s="3">
        <v>25</v>
      </c>
      <c r="J72" s="4">
        <v>7.05</v>
      </c>
      <c r="K72" s="5">
        <v>415</v>
      </c>
      <c r="L72" s="6">
        <v>5</v>
      </c>
      <c r="M72" s="1">
        <f>L72+K72</f>
        <v>420</v>
      </c>
      <c r="N72" s="6">
        <v>5</v>
      </c>
      <c r="O72" s="1">
        <f>M72*J72</f>
        <v>2961</v>
      </c>
      <c r="P72" s="1" t="s">
        <v>27</v>
      </c>
      <c r="Q72" s="10" t="s">
        <v>196</v>
      </c>
      <c r="R72" s="1" t="s">
        <v>35</v>
      </c>
    </row>
    <row r="73" ht="21.6" spans="1:18">
      <c r="A73" s="1" t="s">
        <v>18</v>
      </c>
      <c r="B73" s="9" t="s">
        <v>136</v>
      </c>
      <c r="C73" s="7" t="s">
        <v>61</v>
      </c>
      <c r="D73" s="2" t="s">
        <v>193</v>
      </c>
      <c r="E73" s="2" t="s">
        <v>194</v>
      </c>
      <c r="F73" s="3" t="s">
        <v>39</v>
      </c>
      <c r="G73" s="3" t="s">
        <v>77</v>
      </c>
      <c r="H73" s="2" t="s">
        <v>197</v>
      </c>
      <c r="I73" s="3">
        <v>25</v>
      </c>
      <c r="J73" s="4">
        <v>7.05</v>
      </c>
      <c r="K73" s="5">
        <v>416</v>
      </c>
      <c r="L73" s="6">
        <v>5</v>
      </c>
      <c r="M73" s="1">
        <f>L73+K73</f>
        <v>421</v>
      </c>
      <c r="N73" s="6">
        <v>5</v>
      </c>
      <c r="O73" s="1">
        <f>M73*J73</f>
        <v>2968.05</v>
      </c>
      <c r="P73" s="1" t="s">
        <v>27</v>
      </c>
      <c r="Q73" s="8" t="s">
        <v>198</v>
      </c>
      <c r="R73" s="1" t="s">
        <v>35</v>
      </c>
    </row>
    <row r="74" ht="21.6" spans="1:18">
      <c r="A74" s="1" t="s">
        <v>18</v>
      </c>
      <c r="B74" s="9" t="s">
        <v>199</v>
      </c>
      <c r="C74" s="7" t="s">
        <v>200</v>
      </c>
      <c r="D74" s="2" t="s">
        <v>193</v>
      </c>
      <c r="E74" s="2" t="s">
        <v>194</v>
      </c>
      <c r="F74" s="3" t="s">
        <v>23</v>
      </c>
      <c r="G74" s="3" t="s">
        <v>166</v>
      </c>
      <c r="H74" s="2" t="s">
        <v>201</v>
      </c>
      <c r="I74" s="3">
        <v>25</v>
      </c>
      <c r="J74" s="4">
        <v>7.05</v>
      </c>
      <c r="K74" s="5">
        <v>417</v>
      </c>
      <c r="L74" s="6">
        <v>5</v>
      </c>
      <c r="M74" s="1">
        <f>L74+K74</f>
        <v>422</v>
      </c>
      <c r="N74" s="6">
        <v>5</v>
      </c>
      <c r="O74" s="1">
        <f>M74*J74</f>
        <v>2975.1</v>
      </c>
      <c r="P74" s="1" t="s">
        <v>27</v>
      </c>
      <c r="Q74" s="10" t="s">
        <v>202</v>
      </c>
      <c r="R74" s="1" t="s">
        <v>35</v>
      </c>
    </row>
    <row r="75" ht="21.6" spans="1:18">
      <c r="A75" s="1" t="s">
        <v>18</v>
      </c>
      <c r="B75" s="7" t="s">
        <v>203</v>
      </c>
      <c r="C75" s="7" t="s">
        <v>200</v>
      </c>
      <c r="D75" s="2" t="s">
        <v>193</v>
      </c>
      <c r="E75" s="2" t="s">
        <v>194</v>
      </c>
      <c r="F75" s="3" t="s">
        <v>39</v>
      </c>
      <c r="G75" s="3" t="s">
        <v>166</v>
      </c>
      <c r="H75" s="2" t="s">
        <v>204</v>
      </c>
      <c r="I75" s="3">
        <v>25</v>
      </c>
      <c r="J75" s="4">
        <v>7.05</v>
      </c>
      <c r="K75" s="5">
        <v>418</v>
      </c>
      <c r="L75" s="6">
        <v>5</v>
      </c>
      <c r="M75" s="1">
        <f>L75+K75</f>
        <v>423</v>
      </c>
      <c r="N75" s="6">
        <v>5</v>
      </c>
      <c r="O75" s="1">
        <f>M75*J75</f>
        <v>2982.15</v>
      </c>
      <c r="P75" s="1" t="s">
        <v>27</v>
      </c>
      <c r="Q75" s="10" t="s">
        <v>205</v>
      </c>
      <c r="R75" s="1" t="s">
        <v>35</v>
      </c>
    </row>
  </sheetData>
  <mergeCells count="17">
    <mergeCell ref="B6:B9"/>
    <mergeCell ref="B10:B11"/>
    <mergeCell ref="B15:B16"/>
    <mergeCell ref="B27:B32"/>
    <mergeCell ref="B34:B38"/>
    <mergeCell ref="B39:B42"/>
    <mergeCell ref="B46:B47"/>
    <mergeCell ref="B53:B54"/>
    <mergeCell ref="B57:B58"/>
    <mergeCell ref="B59:B60"/>
    <mergeCell ref="B61:B63"/>
    <mergeCell ref="B64:B67"/>
    <mergeCell ref="B68:B69"/>
    <mergeCell ref="B71:B72"/>
    <mergeCell ref="Q32:Q33"/>
    <mergeCell ref="Q50:Q51"/>
    <mergeCell ref="Q54:Q5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lingb</dc:creator>
  <cp:lastModifiedBy>黄鹏</cp:lastModifiedBy>
  <dcterms:created xsi:type="dcterms:W3CDTF">2026-04-21T00:17:00Z</dcterms:created>
  <dcterms:modified xsi:type="dcterms:W3CDTF">2026-04-21T00:27:27Z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A8C099D6A1C941C58F6495FEA5EFD2F0_11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